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hidePivotFieldList="1" defaultThemeVersion="166925"/>
  <xr:revisionPtr revIDLastSave="0" documentId="8_{288DFD12-7FCD-422D-9AC8-70EA87BB0BEA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Task21" sheetId="1" r:id="rId1"/>
    <sheet name="Task22" sheetId="2" r:id="rId2"/>
    <sheet name="Task23" sheetId="3" r:id="rId3"/>
    <sheet name="Task26" sheetId="6" r:id="rId4"/>
    <sheet name="Task24" sheetId="4" r:id="rId5"/>
    <sheet name="Task25" sheetId="5" r:id="rId6"/>
    <sheet name="Task27" sheetId="7" r:id="rId7"/>
    <sheet name="Task28" sheetId="8" r:id="rId8"/>
    <sheet name="Task29" sheetId="9" r:id="rId9"/>
    <sheet name="Task30" sheetId="10" r:id="rId10"/>
  </sheets>
  <calcPr calcId="191028"/>
  <pivotCaches>
    <pivotCache cacheId="816" r:id="rId11"/>
    <pivotCache cacheId="817" r:id="rId12"/>
    <pivotCache cacheId="818" r:id="rId13"/>
    <pivotCache cacheId="819" r:id="rId14"/>
    <pivotCache cacheId="820" r:id="rId15"/>
    <pivotCache cacheId="821" r:id="rId16"/>
    <pivotCache cacheId="83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0" l="1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4" i="8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L5" i="3"/>
  <c r="L6" i="3"/>
  <c r="L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4" i="2"/>
  <c r="E6" i="1"/>
  <c r="E4" i="1"/>
  <c r="E5" i="1"/>
</calcChain>
</file>

<file path=xl/sharedStrings.xml><?xml version="1.0" encoding="utf-8"?>
<sst xmlns="http://schemas.openxmlformats.org/spreadsheetml/2006/main" count="1417" uniqueCount="100">
  <si>
    <t>Task 21 — Find Product Price with XLOOKUP</t>
  </si>
  <si>
    <t>Product</t>
  </si>
  <si>
    <t>Price</t>
  </si>
  <si>
    <t>Mouse</t>
  </si>
  <si>
    <t>Keyboard</t>
  </si>
  <si>
    <t>Headset</t>
  </si>
  <si>
    <t>Monitor</t>
  </si>
  <si>
    <t>Task 22 — Find Unit Prices with VLOOKUP</t>
  </si>
  <si>
    <t>Order ID</t>
  </si>
  <si>
    <t>Quantity</t>
  </si>
  <si>
    <t>Unit Price</t>
  </si>
  <si>
    <t>ORD001</t>
  </si>
  <si>
    <t>ORD002</t>
  </si>
  <si>
    <t>ORD003</t>
  </si>
  <si>
    <t>ORD004</t>
  </si>
  <si>
    <t>ORD005</t>
  </si>
  <si>
    <t>Laptop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</si>
  <si>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</si>
  <si>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</si>
  <si>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</si>
  <si>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</si>
  <si>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</si>
  <si>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</si>
  <si>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</si>
  <si>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</si>
  <si>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</si>
  <si>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</si>
  <si>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</si>
  <si>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</si>
  <si>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</si>
  <si>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</si>
  <si>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</si>
  <si>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</si>
  <si>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</si>
  <si>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</si>
  <si>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</si>
  <si>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</si>
  <si>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</si>
  <si>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</si>
  <si>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</si>
  <si>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</si>
  <si>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</si>
  <si>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</si>
  <si>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</si>
  <si>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</si>
  <si>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</si>
  <si>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</si>
  <si>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</si>
  <si>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</si>
  <si>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</si>
  <si>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</si>
  <si>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</si>
  <si>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</si>
  <si>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</si>
  <si>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</si>
  <si>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</si>
  <si>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</si>
  <si>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</si>
  <si>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</si>
  <si>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</si>
  <si>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</si>
  <si>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</si>
  <si>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Task 23 — Find Order Quantity with INDEX + MATCH</t>
  </si>
  <si>
    <t>Task 26 — Regional Product Analysis</t>
  </si>
  <si>
    <t>Salesperson</t>
  </si>
  <si>
    <t>Sneha</t>
  </si>
  <si>
    <t>Region</t>
  </si>
  <si>
    <t>Sales Amount</t>
  </si>
  <si>
    <t>Sum of Sales Amount</t>
  </si>
  <si>
    <t>Sum of Quantity</t>
  </si>
  <si>
    <t>North</t>
  </si>
  <si>
    <t>Rahul</t>
  </si>
  <si>
    <t>East</t>
  </si>
  <si>
    <t>Headphones</t>
  </si>
  <si>
    <t>Mobile</t>
  </si>
  <si>
    <t>South</t>
  </si>
  <si>
    <t>Priya</t>
  </si>
  <si>
    <t>Tablet</t>
  </si>
  <si>
    <t>Amit</t>
  </si>
  <si>
    <t>East Total</t>
  </si>
  <si>
    <t>West</t>
  </si>
  <si>
    <t>North Total</t>
  </si>
  <si>
    <t>South Total</t>
  </si>
  <si>
    <t>West Total</t>
  </si>
  <si>
    <t>Grand Total</t>
  </si>
  <si>
    <t>Task 24 — Create a Sales PivotTable</t>
  </si>
  <si>
    <t>Task 25 — Sales PivotTable Analysis</t>
  </si>
  <si>
    <t>Task 27 — Salesperson Performance Analysis</t>
  </si>
  <si>
    <t>Average of Sales Amount</t>
  </si>
  <si>
    <t>Task 28 — Monthly Sales Analysis</t>
  </si>
  <si>
    <t>(All)</t>
  </si>
  <si>
    <t>Date</t>
  </si>
  <si>
    <t>Month</t>
  </si>
  <si>
    <t>August</t>
  </si>
  <si>
    <t>September</t>
  </si>
  <si>
    <t>Task 29 — Product &amp; Region Performance</t>
  </si>
  <si>
    <t>Values</t>
  </si>
  <si>
    <t>Total Sum of Sales Amount</t>
  </si>
  <si>
    <t>Total Sum of Quantity</t>
  </si>
  <si>
    <t>Task 30 —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</si>
</sst>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[Tasks 21 to 30.xlsx]Task30!PivotTable1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Task30!$M$3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Task30!$L$4:$L$8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Task30!$M$4:$M$8</c:f>
              <c:numCache>
                <c:formatCode>General</c:formatCode>
                <c:ptCount val="4"/>
                <c:pt idx="0">
                  <c:v>370000</c:v>
                </c:pt>
                <c:pt idx="1">
                  <c:v>2310000</c:v>
                </c:pt>
                <c:pt idx="2">
                  <c:v>1738000</c:v>
                </c:pt>
                <c:pt idx="3">
                  <c:v>1314000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9-4AD5-ACA7-36F0FD828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47399687"/>
        <c:axId val="2030436359"/>
      </c:barChart>
      <c:catAx>
        <c:axId val="2147399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36359"/>
        <c:crosses val="autoZero"/>
        <c:auto val="1"/>
        <c:lblAlgn val="ctr"/>
        <c:lblOffset val="100"/>
        <c:noMultiLvlLbl val="0"/>
      </c:catAx>
      <c:valAx>
        <c:axId val="2030436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99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[Tasks 21 to 30.xlsx]Task30!PivotTable2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Task30!$M$10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Task30!$L$11:$L$15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Task30!$M$11:$M$15</c:f>
              <c:numCache>
                <c:formatCode>General</c:formatCode>
                <c:ptCount val="4"/>
                <c:pt idx="0">
                  <c:v>1527500</c:v>
                </c:pt>
                <c:pt idx="1">
                  <c:v>1757000</c:v>
                </c:pt>
                <c:pt idx="2">
                  <c:v>1303000</c:v>
                </c:pt>
                <c:pt idx="3">
                  <c:v>1144500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E-453B-8073-3EB2EDFAE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9570695"/>
        <c:axId val="2059589127"/>
      </c:barChart>
      <c:catAx>
        <c:axId val="2059570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89127"/>
        <c:crosses val="autoZero"/>
        <c:auto val="1"/>
        <c:lblAlgn val="ctr"/>
        <c:lblOffset val="100"/>
        <c:noMultiLvlLbl val="0"/>
      </c:catAx>
      <c:valAx>
        <c:axId val="205958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570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[Tasks 21 to 30.xlsx]Task30!PivotTable3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Task30!$P$3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Task30!$O$4:$O$8</c:f>
              <c:strCache>
                <c:ptCount val="4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Task30!$P$4:$P$8</c:f>
              <c:numCache>
                <c:formatCode>General</c:formatCode>
                <c:ptCount val="4"/>
                <c:pt idx="0">
                  <c:v>1564000</c:v>
                </c:pt>
                <c:pt idx="1">
                  <c:v>1079500</c:v>
                </c:pt>
                <c:pt idx="2">
                  <c:v>1675500</c:v>
                </c:pt>
                <c:pt idx="3">
                  <c:v>1413000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8-4C68-9173-7F982D5A5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495300</xdr:colOff>
      <xdr:row>21</xdr:row>
      <xdr:rowOff>133350</xdr:rowOff>
    </xdr:from>
    <xdr:to>
      <xdr:col>17</xdr:col>
      <xdr:colOff>180975</xdr:colOff>
      <xdr:row>32</xdr:row>
      <xdr:rowOff>142875</xdr:rowOff>
    </xdr:to>
    <xdr:graphicFrame macro="">
      <xdr:nvGraphicFramePr>
        <xdr:cNvPr id="108" name="Chart 6">
          <a:extLst>
            <a:ext uri="{FF2B5EF4-FFF2-40B4-BE49-F238E27FC236}">
              <a16:creationId xmlns:a16="http://schemas.microsoft.com/office/drawing/2014/main" id="{586F6856-996F-E282-4D6D-FB366E886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19</xdr:row>
      <xdr:rowOff>28575</xdr:rowOff>
    </xdr:from>
    <xdr:to>
      <xdr:col>13</xdr:col>
      <xdr:colOff>314325</xdr:colOff>
      <xdr:row>30</xdr:row>
      <xdr:rowOff>104775</xdr:rowOff>
    </xdr:to>
    <xdr:graphicFrame macro="">
      <xdr:nvGraphicFramePr>
        <xdr:cNvPr id="109" name="Chart 108">
          <a:extLst>
            <a:ext uri="{FF2B5EF4-FFF2-40B4-BE49-F238E27FC236}">
              <a16:creationId xmlns:a16="http://schemas.microsoft.com/office/drawing/2014/main" id="{7595C736-D415-6770-A1A0-89869EF4C05D}"/>
            </a:ext>
            <a:ext uri="{147F2762-F138-4A5C-976F-8EAC2B608ADB}">
              <a16:predDERef xmlns:a16="http://schemas.microsoft.com/office/drawing/2014/main" pred="{586F6856-996F-E282-4D6D-FB366E886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342900</xdr:colOff>
      <xdr:row>8</xdr:row>
      <xdr:rowOff>85725</xdr:rowOff>
    </xdr:from>
    <xdr:to>
      <xdr:col>17</xdr:col>
      <xdr:colOff>257175</xdr:colOff>
      <xdr:row>19</xdr:row>
      <xdr:rowOff>123825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9975DD59-00D3-F8E0-38E0-0508D2C302FC}"/>
            </a:ext>
            <a:ext uri="{147F2762-F138-4A5C-976F-8EAC2B608ADB}">
              <a16:predDERef xmlns:a16="http://schemas.microsoft.com/office/drawing/2014/main" pred="{7595C736-D415-6770-A1A0-89869EF4C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703923379631" createdVersion="8" refreshedVersion="8" minRefreshableVersion="3" recordCount="50" xr:uid="{2814E818-1A0A-4B68-AE35-A4687CED91D6}">
  <cacheSource type="worksheet">
    <worksheetSource ref="B3:C53" sheet="Task24"/>
  </cacheSource>
  <cacheFields count="2">
    <cacheField name="Product" numFmtId="0">
      <sharedItems count="5">
        <s v="Mouse"/>
        <s v="Keyboard"/>
        <s v="Monitor"/>
        <s v="Headset"/>
        <s v="Laptop"/>
      </sharedItems>
    </cacheField>
    <cacheField name="Quantity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730708101852" createdVersion="8" refreshedVersion="8" minRefreshableVersion="3" recordCount="50" xr:uid="{F5BF5C46-789B-4FBC-B25B-9B5EE9F0AC48}">
  <cacheSource type="worksheet">
    <worksheetSource ref="B3:G53" sheet="Task25"/>
  </cacheSource>
  <cacheFields count="6">
    <cacheField name="Product" numFmtId="0">
      <sharedItems count="4">
        <s v="Laptop"/>
        <s v="Mobile"/>
        <s v="Tablet"/>
        <s v="Headphones"/>
      </sharedItems>
    </cacheField>
    <cacheField name="Region" numFmtId="0">
      <sharedItems/>
    </cacheField>
    <cacheField name="Salesperson" numFmtId="0">
      <sharedItems/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0">
      <sharedItems containsSemiMixedTypes="0" containsString="0" containsNumber="1" containsInteger="1" minValue="20000" maxValue="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773107638888" createdVersion="8" refreshedVersion="8" minRefreshableVersion="3" recordCount="50" xr:uid="{D44ADB2C-83C5-48DF-A962-2CB60FBB658C}">
  <cacheSource type="worksheet">
    <worksheetSource ref="A3:G53" sheet="Task26"/>
  </cacheSource>
  <cacheFields count="7">
    <cacheField name="Order ID" numFmtId="0">
      <sharedItems containsSemiMixedTypes="0" containsString="0" containsNumber="1" containsInteger="1" minValue="1001" maxValue="1050"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Rahul"/>
        <s v="Priya"/>
        <s v="Amit"/>
        <s v="Sneha"/>
      </sharedItems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0">
      <sharedItems containsSemiMixedTypes="0" containsString="0" containsNumber="1" containsInteger="1" minValue="20000" maxValue="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788668287038" createdVersion="8" refreshedVersion="8" minRefreshableVersion="3" recordCount="50" xr:uid="{BDD6BB16-8FF6-4677-B642-2FF1AB42C9EE}">
  <cacheSource type="worksheet">
    <worksheetSource ref="A3:G53" sheet="Task27"/>
  </cacheSource>
  <cacheFields count="7">
    <cacheField name="Order ID" numFmtId="0">
      <sharedItems containsSemiMixedTypes="0" containsString="0" containsNumber="1" containsInteger="1" minValue="1001" maxValue="1050"/>
    </cacheField>
    <cacheField name="Product" numFmtId="0">
      <sharedItems/>
    </cacheField>
    <cacheField name="Region" numFmtId="0">
      <sharedItems/>
    </cacheField>
    <cacheField name="Salesperson" numFmtId="0">
      <sharedItems count="4">
        <s v="Rahul"/>
        <s v="Priya"/>
        <s v="Amit"/>
        <s v="Sneha"/>
      </sharedItems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0">
      <sharedItems containsSemiMixedTypes="0" containsString="0" containsNumber="1" containsInteger="1" minValue="20000" maxValue="275000" count="26">
        <n v="165000"/>
        <n v="110000"/>
        <n v="72000"/>
        <n v="20000"/>
        <n v="154000"/>
        <n v="108000"/>
        <n v="25000"/>
        <n v="220000"/>
        <n v="66000"/>
        <n v="90000"/>
        <n v="30000"/>
        <n v="132000"/>
        <n v="126000"/>
        <n v="22500"/>
        <n v="275000"/>
        <n v="88000"/>
        <n v="144000"/>
        <n v="37500"/>
        <n v="176000"/>
        <n v="27500"/>
        <n v="35000"/>
        <n v="32500"/>
        <n v="162000"/>
        <n v="40000"/>
        <n v="198000"/>
        <n v="4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802504398147" createdVersion="8" refreshedVersion="8" minRefreshableVersion="3" recordCount="50" xr:uid="{F9D71320-E3B6-4427-A210-45F175450C62}">
  <cacheSource type="worksheet">
    <worksheetSource ref="A3:I53" sheet="Task28"/>
  </cacheSource>
  <cacheFields count="9">
    <cacheField name="Order 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 count="2">
        <s v="August"/>
        <s v="September"/>
      </sharedItems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Rahul"/>
        <s v="Priya"/>
        <s v="Amit"/>
        <s v="Sneha"/>
      </sharedItems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0">
      <sharedItems containsSemiMixedTypes="0" containsString="0" containsNumber="1" containsInteger="1" minValue="20000" maxValue="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805528009259" createdVersion="8" refreshedVersion="8" minRefreshableVersion="3" recordCount="50" xr:uid="{B91ECFDA-4469-4524-9C50-8025F02435DF}">
  <cacheSource type="worksheet">
    <worksheetSource ref="A3:I53" sheet="Task29"/>
  </cacheSource>
  <cacheFields count="9">
    <cacheField name="Order 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Rahul"/>
        <s v="Priya"/>
        <s v="Amit"/>
        <s v="Sneha"/>
      </sharedItems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0">
      <sharedItems containsSemiMixedTypes="0" containsString="0" containsNumber="1" containsInteger="1" minValue="20000" maxValue="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2.918171180558" createdVersion="8" refreshedVersion="8" minRefreshableVersion="3" recordCount="50" xr:uid="{A3B21EB7-B2A3-4172-9CB2-E1A883175485}">
  <cacheSource type="worksheet">
    <worksheetSource ref="A3:I53" sheet="Task30"/>
  </cacheSource>
  <cacheFields count="9">
    <cacheField name="Order ID" numFmtId="0">
      <sharedItems containsSemiMixedTypes="0" containsString="0" containsNumber="1" containsInteger="1" minValue="1001" maxValue="1050"/>
    </cacheField>
    <cacheField name="Date" numFmtId="14">
      <sharedItems containsSemiMixedTypes="0" containsNonDate="0" containsDate="1" containsString="0" minDate="2026-08-01T00:00:00" maxDate="2026-09-20T00:00:00"/>
    </cacheField>
    <cacheField name="Month" numFmtId="14">
      <sharedItems/>
    </cacheField>
    <cacheField name="Product" numFmtId="0">
      <sharedItems count="4">
        <s v="Laptop"/>
        <s v="Mobile"/>
        <s v="Tablet"/>
        <s v="Headphones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Rahul"/>
        <s v="Priya"/>
        <s v="Amit"/>
        <s v="Sneha"/>
      </sharedItems>
    </cacheField>
    <cacheField name="Quantity" numFmtId="0">
      <sharedItems containsSemiMixedTypes="0" containsString="0" containsNumber="1" containsInteger="1" minValue="2" maxValue="18"/>
    </cacheField>
    <cacheField name="Unit Price" numFmtId="0">
      <sharedItems containsSemiMixedTypes="0" containsString="0" containsNumber="1" containsInteger="1" minValue="2500" maxValue="55000"/>
    </cacheField>
    <cacheField name="Sales Amount" numFmtId="0">
      <sharedItems containsSemiMixedTypes="0" containsString="0" containsNumber="1" containsInteger="1" minValue="20000" maxValue="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2"/>
  </r>
  <r>
    <x v="1"/>
    <n v="1"/>
  </r>
  <r>
    <x v="2"/>
    <n v="3"/>
  </r>
  <r>
    <x v="3"/>
    <n v="2"/>
  </r>
  <r>
    <x v="4"/>
    <n v="1"/>
  </r>
  <r>
    <x v="0"/>
    <n v="5"/>
  </r>
  <r>
    <x v="1"/>
    <n v="2"/>
  </r>
  <r>
    <x v="2"/>
    <n v="1"/>
  </r>
  <r>
    <x v="3"/>
    <n v="4"/>
  </r>
  <r>
    <x v="4"/>
    <n v="2"/>
  </r>
  <r>
    <x v="0"/>
    <n v="3"/>
  </r>
  <r>
    <x v="1"/>
    <n v="4"/>
  </r>
  <r>
    <x v="2"/>
    <n v="2"/>
  </r>
  <r>
    <x v="3"/>
    <n v="1"/>
  </r>
  <r>
    <x v="4"/>
    <n v="1"/>
  </r>
  <r>
    <x v="0"/>
    <n v="6"/>
  </r>
  <r>
    <x v="1"/>
    <n v="3"/>
  </r>
  <r>
    <x v="2"/>
    <n v="1"/>
  </r>
  <r>
    <x v="3"/>
    <n v="2"/>
  </r>
  <r>
    <x v="4"/>
    <n v="3"/>
  </r>
  <r>
    <x v="0"/>
    <n v="1"/>
  </r>
  <r>
    <x v="1"/>
    <n v="5"/>
  </r>
  <r>
    <x v="2"/>
    <n v="2"/>
  </r>
  <r>
    <x v="3"/>
    <n v="3"/>
  </r>
  <r>
    <x v="4"/>
    <n v="1"/>
  </r>
  <r>
    <x v="0"/>
    <n v="4"/>
  </r>
  <r>
    <x v="1"/>
    <n v="1"/>
  </r>
  <r>
    <x v="2"/>
    <n v="3"/>
  </r>
  <r>
    <x v="3"/>
    <n v="2"/>
  </r>
  <r>
    <x v="4"/>
    <n v="2"/>
  </r>
  <r>
    <x v="0"/>
    <n v="2"/>
  </r>
  <r>
    <x v="1"/>
    <n v="3"/>
  </r>
  <r>
    <x v="2"/>
    <n v="1"/>
  </r>
  <r>
    <x v="3"/>
    <n v="5"/>
  </r>
  <r>
    <x v="4"/>
    <n v="1"/>
  </r>
  <r>
    <x v="0"/>
    <n v="3"/>
  </r>
  <r>
    <x v="1"/>
    <n v="2"/>
  </r>
  <r>
    <x v="2"/>
    <n v="4"/>
  </r>
  <r>
    <x v="3"/>
    <n v="1"/>
  </r>
  <r>
    <x v="4"/>
    <n v="2"/>
  </r>
  <r>
    <x v="0"/>
    <n v="5"/>
  </r>
  <r>
    <x v="1"/>
    <n v="1"/>
  </r>
  <r>
    <x v="2"/>
    <n v="2"/>
  </r>
  <r>
    <x v="3"/>
    <n v="3"/>
  </r>
  <r>
    <x v="4"/>
    <n v="1"/>
  </r>
  <r>
    <x v="0"/>
    <n v="2"/>
  </r>
  <r>
    <x v="1"/>
    <n v="4"/>
  </r>
  <r>
    <x v="2"/>
    <n v="1"/>
  </r>
  <r>
    <x v="3"/>
    <n v="2"/>
  </r>
  <r>
    <x v="4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North"/>
    <s v="Rahul"/>
    <n v="3"/>
    <n v="55000"/>
    <n v="165000"/>
  </r>
  <r>
    <x v="1"/>
    <s v="South"/>
    <s v="Priya"/>
    <n v="5"/>
    <n v="22000"/>
    <n v="110000"/>
  </r>
  <r>
    <x v="2"/>
    <s v="East"/>
    <s v="Amit"/>
    <n v="4"/>
    <n v="18000"/>
    <n v="72000"/>
  </r>
  <r>
    <x v="3"/>
    <s v="West"/>
    <s v="Sneha"/>
    <n v="8"/>
    <n v="2500"/>
    <n v="20000"/>
  </r>
  <r>
    <x v="0"/>
    <s v="South"/>
    <s v="Rahul"/>
    <n v="2"/>
    <n v="55000"/>
    <n v="110000"/>
  </r>
  <r>
    <x v="1"/>
    <s v="North"/>
    <s v="Amit"/>
    <n v="7"/>
    <n v="22000"/>
    <n v="154000"/>
  </r>
  <r>
    <x v="2"/>
    <s v="West"/>
    <s v="Priya"/>
    <n v="6"/>
    <n v="18000"/>
    <n v="108000"/>
  </r>
  <r>
    <x v="3"/>
    <s v="East"/>
    <s v="Sneha"/>
    <n v="10"/>
    <n v="2500"/>
    <n v="25000"/>
  </r>
  <r>
    <x v="0"/>
    <s v="East"/>
    <s v="Amit"/>
    <n v="4"/>
    <n v="55000"/>
    <n v="220000"/>
  </r>
  <r>
    <x v="1"/>
    <s v="West"/>
    <s v="Rahul"/>
    <n v="3"/>
    <n v="22000"/>
    <n v="66000"/>
  </r>
  <r>
    <x v="2"/>
    <s v="North"/>
    <s v="Sneha"/>
    <n v="5"/>
    <n v="18000"/>
    <n v="90000"/>
  </r>
  <r>
    <x v="3"/>
    <s v="South"/>
    <s v="Priya"/>
    <n v="12"/>
    <n v="2500"/>
    <n v="30000"/>
  </r>
  <r>
    <x v="0"/>
    <s v="West"/>
    <s v="Priya"/>
    <n v="2"/>
    <n v="55000"/>
    <n v="110000"/>
  </r>
  <r>
    <x v="1"/>
    <s v="East"/>
    <s v="Sneha"/>
    <n v="6"/>
    <n v="22000"/>
    <n v="132000"/>
  </r>
  <r>
    <x v="2"/>
    <s v="South"/>
    <s v="Rahul"/>
    <n v="7"/>
    <n v="18000"/>
    <n v="126000"/>
  </r>
  <r>
    <x v="3"/>
    <s v="North"/>
    <s v="Amit"/>
    <n v="9"/>
    <n v="2500"/>
    <n v="22500"/>
  </r>
  <r>
    <x v="0"/>
    <s v="North"/>
    <s v="Sneha"/>
    <n v="5"/>
    <n v="55000"/>
    <n v="275000"/>
  </r>
  <r>
    <x v="1"/>
    <s v="South"/>
    <s v="Amit"/>
    <n v="4"/>
    <n v="22000"/>
    <n v="88000"/>
  </r>
  <r>
    <x v="2"/>
    <s v="East"/>
    <s v="Rahul"/>
    <n v="8"/>
    <n v="18000"/>
    <n v="144000"/>
  </r>
  <r>
    <x v="3"/>
    <s v="West"/>
    <s v="Priya"/>
    <n v="15"/>
    <n v="2500"/>
    <n v="37500"/>
  </r>
  <r>
    <x v="0"/>
    <s v="South"/>
    <s v="Amit"/>
    <n v="3"/>
    <n v="55000"/>
    <n v="165000"/>
  </r>
  <r>
    <x v="1"/>
    <s v="North"/>
    <s v="Priya"/>
    <n v="8"/>
    <n v="22000"/>
    <n v="176000"/>
  </r>
  <r>
    <x v="2"/>
    <s v="West"/>
    <s v="Sneha"/>
    <n v="4"/>
    <n v="18000"/>
    <n v="72000"/>
  </r>
  <r>
    <x v="3"/>
    <s v="East"/>
    <s v="Rahul"/>
    <n v="11"/>
    <n v="2500"/>
    <n v="27500"/>
  </r>
  <r>
    <x v="0"/>
    <s v="East"/>
    <s v="Priya"/>
    <n v="2"/>
    <n v="55000"/>
    <n v="110000"/>
  </r>
  <r>
    <x v="1"/>
    <s v="West"/>
    <s v="Amit"/>
    <n v="5"/>
    <n v="22000"/>
    <n v="110000"/>
  </r>
  <r>
    <x v="2"/>
    <s v="North"/>
    <s v="Rahul"/>
    <n v="6"/>
    <n v="18000"/>
    <n v="108000"/>
  </r>
  <r>
    <x v="3"/>
    <s v="South"/>
    <s v="Sneha"/>
    <n v="14"/>
    <n v="2500"/>
    <n v="35000"/>
  </r>
  <r>
    <x v="0"/>
    <s v="West"/>
    <s v="Sneha"/>
    <n v="4"/>
    <n v="55000"/>
    <n v="220000"/>
  </r>
  <r>
    <x v="1"/>
    <s v="East"/>
    <s v="Rahul"/>
    <n v="7"/>
    <n v="22000"/>
    <n v="154000"/>
  </r>
  <r>
    <x v="2"/>
    <s v="South"/>
    <s v="Priya"/>
    <n v="5"/>
    <n v="18000"/>
    <n v="90000"/>
  </r>
  <r>
    <x v="3"/>
    <s v="North"/>
    <s v="Amit"/>
    <n v="13"/>
    <n v="2500"/>
    <n v="32500"/>
  </r>
  <r>
    <x v="0"/>
    <s v="North"/>
    <s v="Priya"/>
    <n v="3"/>
    <n v="55000"/>
    <n v="165000"/>
  </r>
  <r>
    <x v="1"/>
    <s v="South"/>
    <s v="Sneha"/>
    <n v="6"/>
    <n v="22000"/>
    <n v="132000"/>
  </r>
  <r>
    <x v="2"/>
    <s v="East"/>
    <s v="Amit"/>
    <n v="9"/>
    <n v="18000"/>
    <n v="162000"/>
  </r>
  <r>
    <x v="3"/>
    <s v="West"/>
    <s v="Rahul"/>
    <n v="16"/>
    <n v="2500"/>
    <n v="40000"/>
  </r>
  <r>
    <x v="0"/>
    <s v="South"/>
    <s v="Sneha"/>
    <n v="2"/>
    <n v="55000"/>
    <n v="110000"/>
  </r>
  <r>
    <x v="1"/>
    <s v="North"/>
    <s v="Rahul"/>
    <n v="9"/>
    <n v="22000"/>
    <n v="198000"/>
  </r>
  <r>
    <x v="2"/>
    <s v="West"/>
    <s v="Amit"/>
    <n v="6"/>
    <n v="18000"/>
    <n v="108000"/>
  </r>
  <r>
    <x v="3"/>
    <s v="East"/>
    <s v="Priya"/>
    <n v="12"/>
    <n v="2500"/>
    <n v="30000"/>
  </r>
  <r>
    <x v="0"/>
    <s v="East"/>
    <s v="Rahul"/>
    <n v="5"/>
    <n v="55000"/>
    <n v="275000"/>
  </r>
  <r>
    <x v="1"/>
    <s v="West"/>
    <s v="Priya"/>
    <n v="4"/>
    <n v="22000"/>
    <n v="88000"/>
  </r>
  <r>
    <x v="2"/>
    <s v="North"/>
    <s v="Sneha"/>
    <n v="7"/>
    <n v="18000"/>
    <n v="126000"/>
  </r>
  <r>
    <x v="3"/>
    <s v="South"/>
    <s v="Amit"/>
    <n v="18"/>
    <n v="2500"/>
    <n v="45000"/>
  </r>
  <r>
    <x v="0"/>
    <s v="West"/>
    <s v="Amit"/>
    <n v="3"/>
    <n v="55000"/>
    <n v="165000"/>
  </r>
  <r>
    <x v="1"/>
    <s v="East"/>
    <s v="Sneha"/>
    <n v="8"/>
    <n v="22000"/>
    <n v="176000"/>
  </r>
  <r>
    <x v="2"/>
    <s v="South"/>
    <s v="Rahul"/>
    <n v="6"/>
    <n v="18000"/>
    <n v="108000"/>
  </r>
  <r>
    <x v="3"/>
    <s v="North"/>
    <s v="Priya"/>
    <n v="10"/>
    <n v="2500"/>
    <n v="25000"/>
  </r>
  <r>
    <x v="0"/>
    <s v="North"/>
    <s v="Amit"/>
    <n v="4"/>
    <n v="55000"/>
    <n v="220000"/>
  </r>
  <r>
    <x v="1"/>
    <s v="South"/>
    <s v="Rahul"/>
    <n v="7"/>
    <n v="22000"/>
    <n v="154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x v="0"/>
    <x v="0"/>
    <n v="3"/>
    <n v="55000"/>
    <n v="165000"/>
  </r>
  <r>
    <n v="1002"/>
    <x v="1"/>
    <x v="1"/>
    <x v="1"/>
    <n v="5"/>
    <n v="22000"/>
    <n v="110000"/>
  </r>
  <r>
    <n v="1003"/>
    <x v="2"/>
    <x v="2"/>
    <x v="2"/>
    <n v="4"/>
    <n v="18000"/>
    <n v="72000"/>
  </r>
  <r>
    <n v="1004"/>
    <x v="3"/>
    <x v="3"/>
    <x v="3"/>
    <n v="8"/>
    <n v="2500"/>
    <n v="20000"/>
  </r>
  <r>
    <n v="1005"/>
    <x v="0"/>
    <x v="1"/>
    <x v="0"/>
    <n v="2"/>
    <n v="55000"/>
    <n v="110000"/>
  </r>
  <r>
    <n v="1006"/>
    <x v="1"/>
    <x v="0"/>
    <x v="2"/>
    <n v="7"/>
    <n v="22000"/>
    <n v="154000"/>
  </r>
  <r>
    <n v="1007"/>
    <x v="2"/>
    <x v="3"/>
    <x v="1"/>
    <n v="6"/>
    <n v="18000"/>
    <n v="108000"/>
  </r>
  <r>
    <n v="1008"/>
    <x v="3"/>
    <x v="2"/>
    <x v="3"/>
    <n v="10"/>
    <n v="2500"/>
    <n v="25000"/>
  </r>
  <r>
    <n v="1009"/>
    <x v="0"/>
    <x v="2"/>
    <x v="2"/>
    <n v="4"/>
    <n v="55000"/>
    <n v="220000"/>
  </r>
  <r>
    <n v="1010"/>
    <x v="1"/>
    <x v="3"/>
    <x v="0"/>
    <n v="3"/>
    <n v="22000"/>
    <n v="66000"/>
  </r>
  <r>
    <n v="1011"/>
    <x v="2"/>
    <x v="0"/>
    <x v="3"/>
    <n v="5"/>
    <n v="18000"/>
    <n v="90000"/>
  </r>
  <r>
    <n v="1012"/>
    <x v="3"/>
    <x v="1"/>
    <x v="1"/>
    <n v="12"/>
    <n v="2500"/>
    <n v="30000"/>
  </r>
  <r>
    <n v="1013"/>
    <x v="0"/>
    <x v="3"/>
    <x v="1"/>
    <n v="2"/>
    <n v="55000"/>
    <n v="110000"/>
  </r>
  <r>
    <n v="1014"/>
    <x v="1"/>
    <x v="2"/>
    <x v="3"/>
    <n v="6"/>
    <n v="22000"/>
    <n v="132000"/>
  </r>
  <r>
    <n v="1015"/>
    <x v="2"/>
    <x v="1"/>
    <x v="0"/>
    <n v="7"/>
    <n v="18000"/>
    <n v="126000"/>
  </r>
  <r>
    <n v="1016"/>
    <x v="3"/>
    <x v="0"/>
    <x v="2"/>
    <n v="9"/>
    <n v="2500"/>
    <n v="22500"/>
  </r>
  <r>
    <n v="1017"/>
    <x v="0"/>
    <x v="0"/>
    <x v="3"/>
    <n v="5"/>
    <n v="55000"/>
    <n v="275000"/>
  </r>
  <r>
    <n v="1018"/>
    <x v="1"/>
    <x v="1"/>
    <x v="2"/>
    <n v="4"/>
    <n v="22000"/>
    <n v="88000"/>
  </r>
  <r>
    <n v="1019"/>
    <x v="2"/>
    <x v="2"/>
    <x v="0"/>
    <n v="8"/>
    <n v="18000"/>
    <n v="144000"/>
  </r>
  <r>
    <n v="1020"/>
    <x v="3"/>
    <x v="3"/>
    <x v="1"/>
    <n v="15"/>
    <n v="2500"/>
    <n v="37500"/>
  </r>
  <r>
    <n v="1021"/>
    <x v="0"/>
    <x v="1"/>
    <x v="2"/>
    <n v="3"/>
    <n v="55000"/>
    <n v="165000"/>
  </r>
  <r>
    <n v="1022"/>
    <x v="1"/>
    <x v="0"/>
    <x v="1"/>
    <n v="8"/>
    <n v="22000"/>
    <n v="176000"/>
  </r>
  <r>
    <n v="1023"/>
    <x v="2"/>
    <x v="3"/>
    <x v="3"/>
    <n v="4"/>
    <n v="18000"/>
    <n v="72000"/>
  </r>
  <r>
    <n v="1024"/>
    <x v="3"/>
    <x v="2"/>
    <x v="0"/>
    <n v="11"/>
    <n v="2500"/>
    <n v="27500"/>
  </r>
  <r>
    <n v="1025"/>
    <x v="0"/>
    <x v="2"/>
    <x v="1"/>
    <n v="2"/>
    <n v="55000"/>
    <n v="110000"/>
  </r>
  <r>
    <n v="1026"/>
    <x v="1"/>
    <x v="3"/>
    <x v="2"/>
    <n v="5"/>
    <n v="22000"/>
    <n v="110000"/>
  </r>
  <r>
    <n v="1027"/>
    <x v="2"/>
    <x v="0"/>
    <x v="0"/>
    <n v="6"/>
    <n v="18000"/>
    <n v="108000"/>
  </r>
  <r>
    <n v="1028"/>
    <x v="3"/>
    <x v="1"/>
    <x v="3"/>
    <n v="14"/>
    <n v="2500"/>
    <n v="35000"/>
  </r>
  <r>
    <n v="1029"/>
    <x v="0"/>
    <x v="3"/>
    <x v="3"/>
    <n v="4"/>
    <n v="55000"/>
    <n v="220000"/>
  </r>
  <r>
    <n v="1030"/>
    <x v="1"/>
    <x v="2"/>
    <x v="0"/>
    <n v="7"/>
    <n v="22000"/>
    <n v="154000"/>
  </r>
  <r>
    <n v="1031"/>
    <x v="2"/>
    <x v="1"/>
    <x v="1"/>
    <n v="5"/>
    <n v="18000"/>
    <n v="90000"/>
  </r>
  <r>
    <n v="1032"/>
    <x v="3"/>
    <x v="0"/>
    <x v="2"/>
    <n v="13"/>
    <n v="2500"/>
    <n v="32500"/>
  </r>
  <r>
    <n v="1033"/>
    <x v="0"/>
    <x v="0"/>
    <x v="1"/>
    <n v="3"/>
    <n v="55000"/>
    <n v="165000"/>
  </r>
  <r>
    <n v="1034"/>
    <x v="1"/>
    <x v="1"/>
    <x v="3"/>
    <n v="6"/>
    <n v="22000"/>
    <n v="132000"/>
  </r>
  <r>
    <n v="1035"/>
    <x v="2"/>
    <x v="2"/>
    <x v="2"/>
    <n v="9"/>
    <n v="18000"/>
    <n v="162000"/>
  </r>
  <r>
    <n v="1036"/>
    <x v="3"/>
    <x v="3"/>
    <x v="0"/>
    <n v="16"/>
    <n v="2500"/>
    <n v="40000"/>
  </r>
  <r>
    <n v="1037"/>
    <x v="0"/>
    <x v="1"/>
    <x v="3"/>
    <n v="2"/>
    <n v="55000"/>
    <n v="110000"/>
  </r>
  <r>
    <n v="1038"/>
    <x v="1"/>
    <x v="0"/>
    <x v="0"/>
    <n v="9"/>
    <n v="22000"/>
    <n v="198000"/>
  </r>
  <r>
    <n v="1039"/>
    <x v="2"/>
    <x v="3"/>
    <x v="2"/>
    <n v="6"/>
    <n v="18000"/>
    <n v="108000"/>
  </r>
  <r>
    <n v="1040"/>
    <x v="3"/>
    <x v="2"/>
    <x v="1"/>
    <n v="12"/>
    <n v="2500"/>
    <n v="30000"/>
  </r>
  <r>
    <n v="1041"/>
    <x v="0"/>
    <x v="2"/>
    <x v="0"/>
    <n v="5"/>
    <n v="55000"/>
    <n v="275000"/>
  </r>
  <r>
    <n v="1042"/>
    <x v="1"/>
    <x v="3"/>
    <x v="1"/>
    <n v="4"/>
    <n v="22000"/>
    <n v="88000"/>
  </r>
  <r>
    <n v="1043"/>
    <x v="2"/>
    <x v="0"/>
    <x v="3"/>
    <n v="7"/>
    <n v="18000"/>
    <n v="126000"/>
  </r>
  <r>
    <n v="1044"/>
    <x v="3"/>
    <x v="1"/>
    <x v="2"/>
    <n v="18"/>
    <n v="2500"/>
    <n v="45000"/>
  </r>
  <r>
    <n v="1045"/>
    <x v="0"/>
    <x v="3"/>
    <x v="2"/>
    <n v="3"/>
    <n v="55000"/>
    <n v="165000"/>
  </r>
  <r>
    <n v="1046"/>
    <x v="1"/>
    <x v="2"/>
    <x v="3"/>
    <n v="8"/>
    <n v="22000"/>
    <n v="176000"/>
  </r>
  <r>
    <n v="1047"/>
    <x v="2"/>
    <x v="1"/>
    <x v="0"/>
    <n v="6"/>
    <n v="18000"/>
    <n v="108000"/>
  </r>
  <r>
    <n v="1048"/>
    <x v="3"/>
    <x v="0"/>
    <x v="1"/>
    <n v="10"/>
    <n v="2500"/>
    <n v="25000"/>
  </r>
  <r>
    <n v="1049"/>
    <x v="0"/>
    <x v="0"/>
    <x v="2"/>
    <n v="4"/>
    <n v="55000"/>
    <n v="220000"/>
  </r>
  <r>
    <n v="1050"/>
    <x v="1"/>
    <x v="1"/>
    <x v="0"/>
    <n v="7"/>
    <n v="22000"/>
    <n v="154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Laptop"/>
    <s v="North"/>
    <x v="0"/>
    <n v="3"/>
    <n v="55000"/>
    <x v="0"/>
  </r>
  <r>
    <n v="1002"/>
    <s v="Mobile"/>
    <s v="South"/>
    <x v="1"/>
    <n v="5"/>
    <n v="22000"/>
    <x v="1"/>
  </r>
  <r>
    <n v="1003"/>
    <s v="Tablet"/>
    <s v="East"/>
    <x v="2"/>
    <n v="4"/>
    <n v="18000"/>
    <x v="2"/>
  </r>
  <r>
    <n v="1004"/>
    <s v="Headphones"/>
    <s v="West"/>
    <x v="3"/>
    <n v="8"/>
    <n v="2500"/>
    <x v="3"/>
  </r>
  <r>
    <n v="1005"/>
    <s v="Laptop"/>
    <s v="South"/>
    <x v="0"/>
    <n v="2"/>
    <n v="55000"/>
    <x v="1"/>
  </r>
  <r>
    <n v="1006"/>
    <s v="Mobile"/>
    <s v="North"/>
    <x v="2"/>
    <n v="7"/>
    <n v="22000"/>
    <x v="4"/>
  </r>
  <r>
    <n v="1007"/>
    <s v="Tablet"/>
    <s v="West"/>
    <x v="1"/>
    <n v="6"/>
    <n v="18000"/>
    <x v="5"/>
  </r>
  <r>
    <n v="1008"/>
    <s v="Headphones"/>
    <s v="East"/>
    <x v="3"/>
    <n v="10"/>
    <n v="2500"/>
    <x v="6"/>
  </r>
  <r>
    <n v="1009"/>
    <s v="Laptop"/>
    <s v="East"/>
    <x v="2"/>
    <n v="4"/>
    <n v="55000"/>
    <x v="7"/>
  </r>
  <r>
    <n v="1010"/>
    <s v="Mobile"/>
    <s v="West"/>
    <x v="0"/>
    <n v="3"/>
    <n v="22000"/>
    <x v="8"/>
  </r>
  <r>
    <n v="1011"/>
    <s v="Tablet"/>
    <s v="North"/>
    <x v="3"/>
    <n v="5"/>
    <n v="18000"/>
    <x v="9"/>
  </r>
  <r>
    <n v="1012"/>
    <s v="Headphones"/>
    <s v="South"/>
    <x v="1"/>
    <n v="12"/>
    <n v="2500"/>
    <x v="10"/>
  </r>
  <r>
    <n v="1013"/>
    <s v="Laptop"/>
    <s v="West"/>
    <x v="1"/>
    <n v="2"/>
    <n v="55000"/>
    <x v="1"/>
  </r>
  <r>
    <n v="1014"/>
    <s v="Mobile"/>
    <s v="East"/>
    <x v="3"/>
    <n v="6"/>
    <n v="22000"/>
    <x v="11"/>
  </r>
  <r>
    <n v="1015"/>
    <s v="Tablet"/>
    <s v="South"/>
    <x v="0"/>
    <n v="7"/>
    <n v="18000"/>
    <x v="12"/>
  </r>
  <r>
    <n v="1016"/>
    <s v="Headphones"/>
    <s v="North"/>
    <x v="2"/>
    <n v="9"/>
    <n v="2500"/>
    <x v="13"/>
  </r>
  <r>
    <n v="1017"/>
    <s v="Laptop"/>
    <s v="North"/>
    <x v="3"/>
    <n v="5"/>
    <n v="55000"/>
    <x v="14"/>
  </r>
  <r>
    <n v="1018"/>
    <s v="Mobile"/>
    <s v="South"/>
    <x v="2"/>
    <n v="4"/>
    <n v="22000"/>
    <x v="15"/>
  </r>
  <r>
    <n v="1019"/>
    <s v="Tablet"/>
    <s v="East"/>
    <x v="0"/>
    <n v="8"/>
    <n v="18000"/>
    <x v="16"/>
  </r>
  <r>
    <n v="1020"/>
    <s v="Headphones"/>
    <s v="West"/>
    <x v="1"/>
    <n v="15"/>
    <n v="2500"/>
    <x v="17"/>
  </r>
  <r>
    <n v="1021"/>
    <s v="Laptop"/>
    <s v="South"/>
    <x v="2"/>
    <n v="3"/>
    <n v="55000"/>
    <x v="0"/>
  </r>
  <r>
    <n v="1022"/>
    <s v="Mobile"/>
    <s v="North"/>
    <x v="1"/>
    <n v="8"/>
    <n v="22000"/>
    <x v="18"/>
  </r>
  <r>
    <n v="1023"/>
    <s v="Tablet"/>
    <s v="West"/>
    <x v="3"/>
    <n v="4"/>
    <n v="18000"/>
    <x v="2"/>
  </r>
  <r>
    <n v="1024"/>
    <s v="Headphones"/>
    <s v="East"/>
    <x v="0"/>
    <n v="11"/>
    <n v="2500"/>
    <x v="19"/>
  </r>
  <r>
    <n v="1025"/>
    <s v="Laptop"/>
    <s v="East"/>
    <x v="1"/>
    <n v="2"/>
    <n v="55000"/>
    <x v="1"/>
  </r>
  <r>
    <n v="1026"/>
    <s v="Mobile"/>
    <s v="West"/>
    <x v="2"/>
    <n v="5"/>
    <n v="22000"/>
    <x v="1"/>
  </r>
  <r>
    <n v="1027"/>
    <s v="Tablet"/>
    <s v="North"/>
    <x v="0"/>
    <n v="6"/>
    <n v="18000"/>
    <x v="5"/>
  </r>
  <r>
    <n v="1028"/>
    <s v="Headphones"/>
    <s v="South"/>
    <x v="3"/>
    <n v="14"/>
    <n v="2500"/>
    <x v="20"/>
  </r>
  <r>
    <n v="1029"/>
    <s v="Laptop"/>
    <s v="West"/>
    <x v="3"/>
    <n v="4"/>
    <n v="55000"/>
    <x v="7"/>
  </r>
  <r>
    <n v="1030"/>
    <s v="Mobile"/>
    <s v="East"/>
    <x v="0"/>
    <n v="7"/>
    <n v="22000"/>
    <x v="4"/>
  </r>
  <r>
    <n v="1031"/>
    <s v="Tablet"/>
    <s v="South"/>
    <x v="1"/>
    <n v="5"/>
    <n v="18000"/>
    <x v="9"/>
  </r>
  <r>
    <n v="1032"/>
    <s v="Headphones"/>
    <s v="North"/>
    <x v="2"/>
    <n v="13"/>
    <n v="2500"/>
    <x v="21"/>
  </r>
  <r>
    <n v="1033"/>
    <s v="Laptop"/>
    <s v="North"/>
    <x v="1"/>
    <n v="3"/>
    <n v="55000"/>
    <x v="0"/>
  </r>
  <r>
    <n v="1034"/>
    <s v="Mobile"/>
    <s v="South"/>
    <x v="3"/>
    <n v="6"/>
    <n v="22000"/>
    <x v="11"/>
  </r>
  <r>
    <n v="1035"/>
    <s v="Tablet"/>
    <s v="East"/>
    <x v="2"/>
    <n v="9"/>
    <n v="18000"/>
    <x v="22"/>
  </r>
  <r>
    <n v="1036"/>
    <s v="Headphones"/>
    <s v="West"/>
    <x v="0"/>
    <n v="16"/>
    <n v="2500"/>
    <x v="23"/>
  </r>
  <r>
    <n v="1037"/>
    <s v="Laptop"/>
    <s v="South"/>
    <x v="3"/>
    <n v="2"/>
    <n v="55000"/>
    <x v="1"/>
  </r>
  <r>
    <n v="1038"/>
    <s v="Mobile"/>
    <s v="North"/>
    <x v="0"/>
    <n v="9"/>
    <n v="22000"/>
    <x v="24"/>
  </r>
  <r>
    <n v="1039"/>
    <s v="Tablet"/>
    <s v="West"/>
    <x v="2"/>
    <n v="6"/>
    <n v="18000"/>
    <x v="5"/>
  </r>
  <r>
    <n v="1040"/>
    <s v="Headphones"/>
    <s v="East"/>
    <x v="1"/>
    <n v="12"/>
    <n v="2500"/>
    <x v="10"/>
  </r>
  <r>
    <n v="1041"/>
    <s v="Laptop"/>
    <s v="East"/>
    <x v="0"/>
    <n v="5"/>
    <n v="55000"/>
    <x v="14"/>
  </r>
  <r>
    <n v="1042"/>
    <s v="Mobile"/>
    <s v="West"/>
    <x v="1"/>
    <n v="4"/>
    <n v="22000"/>
    <x v="15"/>
  </r>
  <r>
    <n v="1043"/>
    <s v="Tablet"/>
    <s v="North"/>
    <x v="3"/>
    <n v="7"/>
    <n v="18000"/>
    <x v="12"/>
  </r>
  <r>
    <n v="1044"/>
    <s v="Headphones"/>
    <s v="South"/>
    <x v="2"/>
    <n v="18"/>
    <n v="2500"/>
    <x v="25"/>
  </r>
  <r>
    <n v="1045"/>
    <s v="Laptop"/>
    <s v="West"/>
    <x v="2"/>
    <n v="3"/>
    <n v="55000"/>
    <x v="0"/>
  </r>
  <r>
    <n v="1046"/>
    <s v="Mobile"/>
    <s v="East"/>
    <x v="3"/>
    <n v="8"/>
    <n v="22000"/>
    <x v="18"/>
  </r>
  <r>
    <n v="1047"/>
    <s v="Tablet"/>
    <s v="South"/>
    <x v="0"/>
    <n v="6"/>
    <n v="18000"/>
    <x v="5"/>
  </r>
  <r>
    <n v="1048"/>
    <s v="Headphones"/>
    <s v="North"/>
    <x v="1"/>
    <n v="10"/>
    <n v="2500"/>
    <x v="6"/>
  </r>
  <r>
    <n v="1049"/>
    <s v="Laptop"/>
    <s v="North"/>
    <x v="2"/>
    <n v="4"/>
    <n v="55000"/>
    <x v="7"/>
  </r>
  <r>
    <n v="1050"/>
    <s v="Mobile"/>
    <s v="South"/>
    <x v="0"/>
    <n v="7"/>
    <n v="22000"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8-01T00:00:00"/>
    <x v="0"/>
    <x v="0"/>
    <x v="0"/>
    <x v="0"/>
    <n v="3"/>
    <n v="55000"/>
    <n v="165000"/>
  </r>
  <r>
    <n v="1002"/>
    <d v="2026-08-02T00:00:00"/>
    <x v="0"/>
    <x v="1"/>
    <x v="1"/>
    <x v="1"/>
    <n v="5"/>
    <n v="22000"/>
    <n v="110000"/>
  </r>
  <r>
    <n v="1003"/>
    <d v="2026-08-03T00:00:00"/>
    <x v="0"/>
    <x v="2"/>
    <x v="2"/>
    <x v="2"/>
    <n v="4"/>
    <n v="18000"/>
    <n v="72000"/>
  </r>
  <r>
    <n v="1004"/>
    <d v="2026-08-04T00:00:00"/>
    <x v="0"/>
    <x v="3"/>
    <x v="3"/>
    <x v="3"/>
    <n v="8"/>
    <n v="2500"/>
    <n v="20000"/>
  </r>
  <r>
    <n v="1005"/>
    <d v="2026-08-05T00:00:00"/>
    <x v="0"/>
    <x v="0"/>
    <x v="1"/>
    <x v="0"/>
    <n v="2"/>
    <n v="55000"/>
    <n v="110000"/>
  </r>
  <r>
    <n v="1006"/>
    <d v="2026-08-06T00:00:00"/>
    <x v="0"/>
    <x v="1"/>
    <x v="0"/>
    <x v="2"/>
    <n v="7"/>
    <n v="22000"/>
    <n v="154000"/>
  </r>
  <r>
    <n v="1007"/>
    <d v="2026-08-07T00:00:00"/>
    <x v="0"/>
    <x v="2"/>
    <x v="3"/>
    <x v="1"/>
    <n v="6"/>
    <n v="18000"/>
    <n v="108000"/>
  </r>
  <r>
    <n v="1008"/>
    <d v="2026-08-08T00:00:00"/>
    <x v="0"/>
    <x v="3"/>
    <x v="2"/>
    <x v="3"/>
    <n v="10"/>
    <n v="2500"/>
    <n v="25000"/>
  </r>
  <r>
    <n v="1009"/>
    <d v="2026-08-09T00:00:00"/>
    <x v="0"/>
    <x v="0"/>
    <x v="2"/>
    <x v="2"/>
    <n v="4"/>
    <n v="55000"/>
    <n v="220000"/>
  </r>
  <r>
    <n v="1010"/>
    <d v="2026-08-10T00:00:00"/>
    <x v="0"/>
    <x v="1"/>
    <x v="3"/>
    <x v="0"/>
    <n v="3"/>
    <n v="22000"/>
    <n v="66000"/>
  </r>
  <r>
    <n v="1011"/>
    <d v="2026-08-11T00:00:00"/>
    <x v="0"/>
    <x v="2"/>
    <x v="0"/>
    <x v="3"/>
    <n v="5"/>
    <n v="18000"/>
    <n v="90000"/>
  </r>
  <r>
    <n v="1012"/>
    <d v="2026-08-12T00:00:00"/>
    <x v="0"/>
    <x v="3"/>
    <x v="1"/>
    <x v="1"/>
    <n v="12"/>
    <n v="2500"/>
    <n v="30000"/>
  </r>
  <r>
    <n v="1013"/>
    <d v="2026-08-13T00:00:00"/>
    <x v="0"/>
    <x v="0"/>
    <x v="3"/>
    <x v="1"/>
    <n v="2"/>
    <n v="55000"/>
    <n v="110000"/>
  </r>
  <r>
    <n v="1014"/>
    <d v="2026-08-14T00:00:00"/>
    <x v="0"/>
    <x v="1"/>
    <x v="2"/>
    <x v="3"/>
    <n v="6"/>
    <n v="22000"/>
    <n v="132000"/>
  </r>
  <r>
    <n v="1015"/>
    <d v="2026-08-15T00:00:00"/>
    <x v="0"/>
    <x v="2"/>
    <x v="1"/>
    <x v="0"/>
    <n v="7"/>
    <n v="18000"/>
    <n v="126000"/>
  </r>
  <r>
    <n v="1016"/>
    <d v="2026-08-16T00:00:00"/>
    <x v="0"/>
    <x v="3"/>
    <x v="0"/>
    <x v="2"/>
    <n v="9"/>
    <n v="2500"/>
    <n v="22500"/>
  </r>
  <r>
    <n v="1017"/>
    <d v="2026-08-17T00:00:00"/>
    <x v="0"/>
    <x v="0"/>
    <x v="0"/>
    <x v="3"/>
    <n v="5"/>
    <n v="55000"/>
    <n v="275000"/>
  </r>
  <r>
    <n v="1018"/>
    <d v="2026-08-18T00:00:00"/>
    <x v="0"/>
    <x v="1"/>
    <x v="1"/>
    <x v="2"/>
    <n v="4"/>
    <n v="22000"/>
    <n v="88000"/>
  </r>
  <r>
    <n v="1019"/>
    <d v="2026-08-19T00:00:00"/>
    <x v="0"/>
    <x v="2"/>
    <x v="2"/>
    <x v="0"/>
    <n v="8"/>
    <n v="18000"/>
    <n v="144000"/>
  </r>
  <r>
    <n v="1020"/>
    <d v="2026-08-20T00:00:00"/>
    <x v="0"/>
    <x v="3"/>
    <x v="3"/>
    <x v="1"/>
    <n v="15"/>
    <n v="2500"/>
    <n v="37500"/>
  </r>
  <r>
    <n v="1021"/>
    <d v="2026-08-21T00:00:00"/>
    <x v="0"/>
    <x v="0"/>
    <x v="1"/>
    <x v="2"/>
    <n v="3"/>
    <n v="55000"/>
    <n v="165000"/>
  </r>
  <r>
    <n v="1022"/>
    <d v="2026-08-22T00:00:00"/>
    <x v="0"/>
    <x v="1"/>
    <x v="0"/>
    <x v="1"/>
    <n v="8"/>
    <n v="22000"/>
    <n v="176000"/>
  </r>
  <r>
    <n v="1023"/>
    <d v="2026-08-23T00:00:00"/>
    <x v="0"/>
    <x v="2"/>
    <x v="3"/>
    <x v="3"/>
    <n v="4"/>
    <n v="18000"/>
    <n v="72000"/>
  </r>
  <r>
    <n v="1024"/>
    <d v="2026-08-24T00:00:00"/>
    <x v="0"/>
    <x v="3"/>
    <x v="2"/>
    <x v="0"/>
    <n v="11"/>
    <n v="2500"/>
    <n v="27500"/>
  </r>
  <r>
    <n v="1025"/>
    <d v="2026-08-25T00:00:00"/>
    <x v="0"/>
    <x v="0"/>
    <x v="2"/>
    <x v="1"/>
    <n v="2"/>
    <n v="55000"/>
    <n v="110000"/>
  </r>
  <r>
    <n v="1026"/>
    <d v="2026-08-26T00:00:00"/>
    <x v="0"/>
    <x v="1"/>
    <x v="3"/>
    <x v="2"/>
    <n v="5"/>
    <n v="22000"/>
    <n v="110000"/>
  </r>
  <r>
    <n v="1027"/>
    <d v="2026-08-27T00:00:00"/>
    <x v="0"/>
    <x v="2"/>
    <x v="0"/>
    <x v="0"/>
    <n v="6"/>
    <n v="18000"/>
    <n v="108000"/>
  </r>
  <r>
    <n v="1028"/>
    <d v="2026-08-28T00:00:00"/>
    <x v="0"/>
    <x v="3"/>
    <x v="1"/>
    <x v="3"/>
    <n v="14"/>
    <n v="2500"/>
    <n v="35000"/>
  </r>
  <r>
    <n v="1029"/>
    <d v="2026-08-29T00:00:00"/>
    <x v="0"/>
    <x v="0"/>
    <x v="3"/>
    <x v="3"/>
    <n v="4"/>
    <n v="55000"/>
    <n v="220000"/>
  </r>
  <r>
    <n v="1030"/>
    <d v="2026-08-30T00:00:00"/>
    <x v="0"/>
    <x v="1"/>
    <x v="2"/>
    <x v="0"/>
    <n v="7"/>
    <n v="22000"/>
    <n v="154000"/>
  </r>
  <r>
    <n v="1031"/>
    <d v="2026-08-31T00:00:00"/>
    <x v="0"/>
    <x v="2"/>
    <x v="1"/>
    <x v="1"/>
    <n v="5"/>
    <n v="18000"/>
    <n v="90000"/>
  </r>
  <r>
    <n v="1032"/>
    <d v="2026-09-01T00:00:00"/>
    <x v="1"/>
    <x v="3"/>
    <x v="0"/>
    <x v="2"/>
    <n v="13"/>
    <n v="2500"/>
    <n v="32500"/>
  </r>
  <r>
    <n v="1033"/>
    <d v="2026-09-02T00:00:00"/>
    <x v="1"/>
    <x v="0"/>
    <x v="0"/>
    <x v="1"/>
    <n v="3"/>
    <n v="55000"/>
    <n v="165000"/>
  </r>
  <r>
    <n v="1034"/>
    <d v="2026-09-03T00:00:00"/>
    <x v="1"/>
    <x v="1"/>
    <x v="1"/>
    <x v="3"/>
    <n v="6"/>
    <n v="22000"/>
    <n v="132000"/>
  </r>
  <r>
    <n v="1035"/>
    <d v="2026-09-04T00:00:00"/>
    <x v="1"/>
    <x v="2"/>
    <x v="2"/>
    <x v="2"/>
    <n v="9"/>
    <n v="18000"/>
    <n v="162000"/>
  </r>
  <r>
    <n v="1036"/>
    <d v="2026-09-05T00:00:00"/>
    <x v="1"/>
    <x v="3"/>
    <x v="3"/>
    <x v="0"/>
    <n v="16"/>
    <n v="2500"/>
    <n v="40000"/>
  </r>
  <r>
    <n v="1037"/>
    <d v="2026-09-06T00:00:00"/>
    <x v="1"/>
    <x v="0"/>
    <x v="1"/>
    <x v="3"/>
    <n v="2"/>
    <n v="55000"/>
    <n v="110000"/>
  </r>
  <r>
    <n v="1038"/>
    <d v="2026-09-07T00:00:00"/>
    <x v="1"/>
    <x v="1"/>
    <x v="0"/>
    <x v="0"/>
    <n v="9"/>
    <n v="22000"/>
    <n v="198000"/>
  </r>
  <r>
    <n v="1039"/>
    <d v="2026-09-08T00:00:00"/>
    <x v="1"/>
    <x v="2"/>
    <x v="3"/>
    <x v="2"/>
    <n v="6"/>
    <n v="18000"/>
    <n v="108000"/>
  </r>
  <r>
    <n v="1040"/>
    <d v="2026-09-09T00:00:00"/>
    <x v="1"/>
    <x v="3"/>
    <x v="2"/>
    <x v="1"/>
    <n v="12"/>
    <n v="2500"/>
    <n v="30000"/>
  </r>
  <r>
    <n v="1041"/>
    <d v="2026-09-10T00:00:00"/>
    <x v="1"/>
    <x v="0"/>
    <x v="2"/>
    <x v="0"/>
    <n v="5"/>
    <n v="55000"/>
    <n v="275000"/>
  </r>
  <r>
    <n v="1042"/>
    <d v="2026-09-11T00:00:00"/>
    <x v="1"/>
    <x v="1"/>
    <x v="3"/>
    <x v="1"/>
    <n v="4"/>
    <n v="22000"/>
    <n v="88000"/>
  </r>
  <r>
    <n v="1043"/>
    <d v="2026-09-12T00:00:00"/>
    <x v="1"/>
    <x v="2"/>
    <x v="0"/>
    <x v="3"/>
    <n v="7"/>
    <n v="18000"/>
    <n v="126000"/>
  </r>
  <r>
    <n v="1044"/>
    <d v="2026-09-13T00:00:00"/>
    <x v="1"/>
    <x v="3"/>
    <x v="1"/>
    <x v="2"/>
    <n v="18"/>
    <n v="2500"/>
    <n v="45000"/>
  </r>
  <r>
    <n v="1045"/>
    <d v="2026-09-14T00:00:00"/>
    <x v="1"/>
    <x v="0"/>
    <x v="3"/>
    <x v="2"/>
    <n v="3"/>
    <n v="55000"/>
    <n v="165000"/>
  </r>
  <r>
    <n v="1046"/>
    <d v="2026-09-15T00:00:00"/>
    <x v="1"/>
    <x v="1"/>
    <x v="2"/>
    <x v="3"/>
    <n v="8"/>
    <n v="22000"/>
    <n v="176000"/>
  </r>
  <r>
    <n v="1047"/>
    <d v="2026-09-16T00:00:00"/>
    <x v="1"/>
    <x v="2"/>
    <x v="1"/>
    <x v="0"/>
    <n v="6"/>
    <n v="18000"/>
    <n v="108000"/>
  </r>
  <r>
    <n v="1048"/>
    <d v="2026-09-17T00:00:00"/>
    <x v="1"/>
    <x v="3"/>
    <x v="0"/>
    <x v="1"/>
    <n v="10"/>
    <n v="2500"/>
    <n v="25000"/>
  </r>
  <r>
    <n v="1049"/>
    <d v="2026-09-18T00:00:00"/>
    <x v="1"/>
    <x v="0"/>
    <x v="0"/>
    <x v="2"/>
    <n v="4"/>
    <n v="55000"/>
    <n v="220000"/>
  </r>
  <r>
    <n v="1050"/>
    <d v="2026-09-19T00:00:00"/>
    <x v="1"/>
    <x v="1"/>
    <x v="1"/>
    <x v="0"/>
    <n v="7"/>
    <n v="22000"/>
    <n v="154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8-01T00:00:00"/>
    <s v="August"/>
    <x v="0"/>
    <x v="0"/>
    <x v="0"/>
    <n v="3"/>
    <n v="55000"/>
    <n v="165000"/>
  </r>
  <r>
    <n v="1002"/>
    <d v="2026-08-02T00:00:00"/>
    <s v="August"/>
    <x v="1"/>
    <x v="1"/>
    <x v="1"/>
    <n v="5"/>
    <n v="22000"/>
    <n v="110000"/>
  </r>
  <r>
    <n v="1003"/>
    <d v="2026-08-03T00:00:00"/>
    <s v="August"/>
    <x v="2"/>
    <x v="2"/>
    <x v="2"/>
    <n v="4"/>
    <n v="18000"/>
    <n v="72000"/>
  </r>
  <r>
    <n v="1004"/>
    <d v="2026-08-04T00:00:00"/>
    <s v="August"/>
    <x v="3"/>
    <x v="3"/>
    <x v="3"/>
    <n v="8"/>
    <n v="2500"/>
    <n v="20000"/>
  </r>
  <r>
    <n v="1005"/>
    <d v="2026-08-05T00:00:00"/>
    <s v="August"/>
    <x v="0"/>
    <x v="1"/>
    <x v="0"/>
    <n v="2"/>
    <n v="55000"/>
    <n v="110000"/>
  </r>
  <r>
    <n v="1006"/>
    <d v="2026-08-06T00:00:00"/>
    <s v="August"/>
    <x v="1"/>
    <x v="0"/>
    <x v="2"/>
    <n v="7"/>
    <n v="22000"/>
    <n v="154000"/>
  </r>
  <r>
    <n v="1007"/>
    <d v="2026-08-07T00:00:00"/>
    <s v="August"/>
    <x v="2"/>
    <x v="3"/>
    <x v="1"/>
    <n v="6"/>
    <n v="18000"/>
    <n v="108000"/>
  </r>
  <r>
    <n v="1008"/>
    <d v="2026-08-08T00:00:00"/>
    <s v="August"/>
    <x v="3"/>
    <x v="2"/>
    <x v="3"/>
    <n v="10"/>
    <n v="2500"/>
    <n v="25000"/>
  </r>
  <r>
    <n v="1009"/>
    <d v="2026-08-09T00:00:00"/>
    <s v="August"/>
    <x v="0"/>
    <x v="2"/>
    <x v="2"/>
    <n v="4"/>
    <n v="55000"/>
    <n v="220000"/>
  </r>
  <r>
    <n v="1010"/>
    <d v="2026-08-10T00:00:00"/>
    <s v="August"/>
    <x v="1"/>
    <x v="3"/>
    <x v="0"/>
    <n v="3"/>
    <n v="22000"/>
    <n v="66000"/>
  </r>
  <r>
    <n v="1011"/>
    <d v="2026-08-11T00:00:00"/>
    <s v="August"/>
    <x v="2"/>
    <x v="0"/>
    <x v="3"/>
    <n v="5"/>
    <n v="18000"/>
    <n v="90000"/>
  </r>
  <r>
    <n v="1012"/>
    <d v="2026-08-12T00:00:00"/>
    <s v="August"/>
    <x v="3"/>
    <x v="1"/>
    <x v="1"/>
    <n v="12"/>
    <n v="2500"/>
    <n v="30000"/>
  </r>
  <r>
    <n v="1013"/>
    <d v="2026-08-13T00:00:00"/>
    <s v="August"/>
    <x v="0"/>
    <x v="3"/>
    <x v="1"/>
    <n v="2"/>
    <n v="55000"/>
    <n v="110000"/>
  </r>
  <r>
    <n v="1014"/>
    <d v="2026-08-14T00:00:00"/>
    <s v="August"/>
    <x v="1"/>
    <x v="2"/>
    <x v="3"/>
    <n v="6"/>
    <n v="22000"/>
    <n v="132000"/>
  </r>
  <r>
    <n v="1015"/>
    <d v="2026-08-15T00:00:00"/>
    <s v="August"/>
    <x v="2"/>
    <x v="1"/>
    <x v="0"/>
    <n v="7"/>
    <n v="18000"/>
    <n v="126000"/>
  </r>
  <r>
    <n v="1016"/>
    <d v="2026-08-16T00:00:00"/>
    <s v="August"/>
    <x v="3"/>
    <x v="0"/>
    <x v="2"/>
    <n v="9"/>
    <n v="2500"/>
    <n v="22500"/>
  </r>
  <r>
    <n v="1017"/>
    <d v="2026-08-17T00:00:00"/>
    <s v="August"/>
    <x v="0"/>
    <x v="0"/>
    <x v="3"/>
    <n v="5"/>
    <n v="55000"/>
    <n v="275000"/>
  </r>
  <r>
    <n v="1018"/>
    <d v="2026-08-18T00:00:00"/>
    <s v="August"/>
    <x v="1"/>
    <x v="1"/>
    <x v="2"/>
    <n v="4"/>
    <n v="22000"/>
    <n v="88000"/>
  </r>
  <r>
    <n v="1019"/>
    <d v="2026-08-19T00:00:00"/>
    <s v="August"/>
    <x v="2"/>
    <x v="2"/>
    <x v="0"/>
    <n v="8"/>
    <n v="18000"/>
    <n v="144000"/>
  </r>
  <r>
    <n v="1020"/>
    <d v="2026-08-20T00:00:00"/>
    <s v="August"/>
    <x v="3"/>
    <x v="3"/>
    <x v="1"/>
    <n v="15"/>
    <n v="2500"/>
    <n v="37500"/>
  </r>
  <r>
    <n v="1021"/>
    <d v="2026-08-21T00:00:00"/>
    <s v="August"/>
    <x v="0"/>
    <x v="1"/>
    <x v="2"/>
    <n v="3"/>
    <n v="55000"/>
    <n v="165000"/>
  </r>
  <r>
    <n v="1022"/>
    <d v="2026-08-22T00:00:00"/>
    <s v="August"/>
    <x v="1"/>
    <x v="0"/>
    <x v="1"/>
    <n v="8"/>
    <n v="22000"/>
    <n v="176000"/>
  </r>
  <r>
    <n v="1023"/>
    <d v="2026-08-23T00:00:00"/>
    <s v="August"/>
    <x v="2"/>
    <x v="3"/>
    <x v="3"/>
    <n v="4"/>
    <n v="18000"/>
    <n v="72000"/>
  </r>
  <r>
    <n v="1024"/>
    <d v="2026-08-24T00:00:00"/>
    <s v="August"/>
    <x v="3"/>
    <x v="2"/>
    <x v="0"/>
    <n v="11"/>
    <n v="2500"/>
    <n v="27500"/>
  </r>
  <r>
    <n v="1025"/>
    <d v="2026-08-25T00:00:00"/>
    <s v="August"/>
    <x v="0"/>
    <x v="2"/>
    <x v="1"/>
    <n v="2"/>
    <n v="55000"/>
    <n v="110000"/>
  </r>
  <r>
    <n v="1026"/>
    <d v="2026-08-26T00:00:00"/>
    <s v="August"/>
    <x v="1"/>
    <x v="3"/>
    <x v="2"/>
    <n v="5"/>
    <n v="22000"/>
    <n v="110000"/>
  </r>
  <r>
    <n v="1027"/>
    <d v="2026-08-27T00:00:00"/>
    <s v="August"/>
    <x v="2"/>
    <x v="0"/>
    <x v="0"/>
    <n v="6"/>
    <n v="18000"/>
    <n v="108000"/>
  </r>
  <r>
    <n v="1028"/>
    <d v="2026-08-28T00:00:00"/>
    <s v="August"/>
    <x v="3"/>
    <x v="1"/>
    <x v="3"/>
    <n v="14"/>
    <n v="2500"/>
    <n v="35000"/>
  </r>
  <r>
    <n v="1029"/>
    <d v="2026-08-29T00:00:00"/>
    <s v="August"/>
    <x v="0"/>
    <x v="3"/>
    <x v="3"/>
    <n v="4"/>
    <n v="55000"/>
    <n v="220000"/>
  </r>
  <r>
    <n v="1030"/>
    <d v="2026-08-30T00:00:00"/>
    <s v="August"/>
    <x v="1"/>
    <x v="2"/>
    <x v="0"/>
    <n v="7"/>
    <n v="22000"/>
    <n v="154000"/>
  </r>
  <r>
    <n v="1031"/>
    <d v="2026-08-31T00:00:00"/>
    <s v="August"/>
    <x v="2"/>
    <x v="1"/>
    <x v="1"/>
    <n v="5"/>
    <n v="18000"/>
    <n v="90000"/>
  </r>
  <r>
    <n v="1032"/>
    <d v="2026-09-01T00:00:00"/>
    <s v="September"/>
    <x v="3"/>
    <x v="0"/>
    <x v="2"/>
    <n v="13"/>
    <n v="2500"/>
    <n v="32500"/>
  </r>
  <r>
    <n v="1033"/>
    <d v="2026-09-02T00:00:00"/>
    <s v="September"/>
    <x v="0"/>
    <x v="0"/>
    <x v="1"/>
    <n v="3"/>
    <n v="55000"/>
    <n v="165000"/>
  </r>
  <r>
    <n v="1034"/>
    <d v="2026-09-03T00:00:00"/>
    <s v="September"/>
    <x v="1"/>
    <x v="1"/>
    <x v="3"/>
    <n v="6"/>
    <n v="22000"/>
    <n v="132000"/>
  </r>
  <r>
    <n v="1035"/>
    <d v="2026-09-04T00:00:00"/>
    <s v="September"/>
    <x v="2"/>
    <x v="2"/>
    <x v="2"/>
    <n v="9"/>
    <n v="18000"/>
    <n v="162000"/>
  </r>
  <r>
    <n v="1036"/>
    <d v="2026-09-05T00:00:00"/>
    <s v="September"/>
    <x v="3"/>
    <x v="3"/>
    <x v="0"/>
    <n v="16"/>
    <n v="2500"/>
    <n v="40000"/>
  </r>
  <r>
    <n v="1037"/>
    <d v="2026-09-06T00:00:00"/>
    <s v="September"/>
    <x v="0"/>
    <x v="1"/>
    <x v="3"/>
    <n v="2"/>
    <n v="55000"/>
    <n v="110000"/>
  </r>
  <r>
    <n v="1038"/>
    <d v="2026-09-07T00:00:00"/>
    <s v="September"/>
    <x v="1"/>
    <x v="0"/>
    <x v="0"/>
    <n v="9"/>
    <n v="22000"/>
    <n v="198000"/>
  </r>
  <r>
    <n v="1039"/>
    <d v="2026-09-08T00:00:00"/>
    <s v="September"/>
    <x v="2"/>
    <x v="3"/>
    <x v="2"/>
    <n v="6"/>
    <n v="18000"/>
    <n v="108000"/>
  </r>
  <r>
    <n v="1040"/>
    <d v="2026-09-09T00:00:00"/>
    <s v="September"/>
    <x v="3"/>
    <x v="2"/>
    <x v="1"/>
    <n v="12"/>
    <n v="2500"/>
    <n v="30000"/>
  </r>
  <r>
    <n v="1041"/>
    <d v="2026-09-10T00:00:00"/>
    <s v="September"/>
    <x v="0"/>
    <x v="2"/>
    <x v="0"/>
    <n v="5"/>
    <n v="55000"/>
    <n v="275000"/>
  </r>
  <r>
    <n v="1042"/>
    <d v="2026-09-11T00:00:00"/>
    <s v="September"/>
    <x v="1"/>
    <x v="3"/>
    <x v="1"/>
    <n v="4"/>
    <n v="22000"/>
    <n v="88000"/>
  </r>
  <r>
    <n v="1043"/>
    <d v="2026-09-12T00:00:00"/>
    <s v="September"/>
    <x v="2"/>
    <x v="0"/>
    <x v="3"/>
    <n v="7"/>
    <n v="18000"/>
    <n v="126000"/>
  </r>
  <r>
    <n v="1044"/>
    <d v="2026-09-13T00:00:00"/>
    <s v="September"/>
    <x v="3"/>
    <x v="1"/>
    <x v="2"/>
    <n v="18"/>
    <n v="2500"/>
    <n v="45000"/>
  </r>
  <r>
    <n v="1045"/>
    <d v="2026-09-14T00:00:00"/>
    <s v="September"/>
    <x v="0"/>
    <x v="3"/>
    <x v="2"/>
    <n v="3"/>
    <n v="55000"/>
    <n v="165000"/>
  </r>
  <r>
    <n v="1046"/>
    <d v="2026-09-15T00:00:00"/>
    <s v="September"/>
    <x v="1"/>
    <x v="2"/>
    <x v="3"/>
    <n v="8"/>
    <n v="22000"/>
    <n v="176000"/>
  </r>
  <r>
    <n v="1047"/>
    <d v="2026-09-16T00:00:00"/>
    <s v="September"/>
    <x v="2"/>
    <x v="1"/>
    <x v="0"/>
    <n v="6"/>
    <n v="18000"/>
    <n v="108000"/>
  </r>
  <r>
    <n v="1048"/>
    <d v="2026-09-17T00:00:00"/>
    <s v="September"/>
    <x v="3"/>
    <x v="0"/>
    <x v="1"/>
    <n v="10"/>
    <n v="2500"/>
    <n v="25000"/>
  </r>
  <r>
    <n v="1049"/>
    <d v="2026-09-18T00:00:00"/>
    <s v="September"/>
    <x v="0"/>
    <x v="0"/>
    <x v="2"/>
    <n v="4"/>
    <n v="55000"/>
    <n v="220000"/>
  </r>
  <r>
    <n v="1050"/>
    <d v="2026-09-19T00:00:00"/>
    <s v="September"/>
    <x v="1"/>
    <x v="1"/>
    <x v="0"/>
    <n v="7"/>
    <n v="22000"/>
    <n v="1540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d v="2026-08-01T00:00:00"/>
    <s v="August"/>
    <x v="0"/>
    <x v="0"/>
    <x v="0"/>
    <n v="3"/>
    <n v="55000"/>
    <n v="165000"/>
  </r>
  <r>
    <n v="1002"/>
    <d v="2026-08-02T00:00:00"/>
    <s v="August"/>
    <x v="1"/>
    <x v="1"/>
    <x v="1"/>
    <n v="5"/>
    <n v="22000"/>
    <n v="110000"/>
  </r>
  <r>
    <n v="1003"/>
    <d v="2026-08-03T00:00:00"/>
    <s v="August"/>
    <x v="2"/>
    <x v="2"/>
    <x v="2"/>
    <n v="4"/>
    <n v="18000"/>
    <n v="72000"/>
  </r>
  <r>
    <n v="1004"/>
    <d v="2026-08-04T00:00:00"/>
    <s v="August"/>
    <x v="3"/>
    <x v="3"/>
    <x v="3"/>
    <n v="8"/>
    <n v="2500"/>
    <n v="20000"/>
  </r>
  <r>
    <n v="1005"/>
    <d v="2026-08-05T00:00:00"/>
    <s v="August"/>
    <x v="0"/>
    <x v="1"/>
    <x v="0"/>
    <n v="2"/>
    <n v="55000"/>
    <n v="110000"/>
  </r>
  <r>
    <n v="1006"/>
    <d v="2026-08-06T00:00:00"/>
    <s v="August"/>
    <x v="1"/>
    <x v="0"/>
    <x v="2"/>
    <n v="7"/>
    <n v="22000"/>
    <n v="154000"/>
  </r>
  <r>
    <n v="1007"/>
    <d v="2026-08-07T00:00:00"/>
    <s v="August"/>
    <x v="2"/>
    <x v="3"/>
    <x v="1"/>
    <n v="6"/>
    <n v="18000"/>
    <n v="108000"/>
  </r>
  <r>
    <n v="1008"/>
    <d v="2026-08-08T00:00:00"/>
    <s v="August"/>
    <x v="3"/>
    <x v="2"/>
    <x v="3"/>
    <n v="10"/>
    <n v="2500"/>
    <n v="25000"/>
  </r>
  <r>
    <n v="1009"/>
    <d v="2026-08-09T00:00:00"/>
    <s v="August"/>
    <x v="0"/>
    <x v="2"/>
    <x v="2"/>
    <n v="4"/>
    <n v="55000"/>
    <n v="220000"/>
  </r>
  <r>
    <n v="1010"/>
    <d v="2026-08-10T00:00:00"/>
    <s v="August"/>
    <x v="1"/>
    <x v="3"/>
    <x v="0"/>
    <n v="3"/>
    <n v="22000"/>
    <n v="66000"/>
  </r>
  <r>
    <n v="1011"/>
    <d v="2026-08-11T00:00:00"/>
    <s v="August"/>
    <x v="2"/>
    <x v="0"/>
    <x v="3"/>
    <n v="5"/>
    <n v="18000"/>
    <n v="90000"/>
  </r>
  <r>
    <n v="1012"/>
    <d v="2026-08-12T00:00:00"/>
    <s v="August"/>
    <x v="3"/>
    <x v="1"/>
    <x v="1"/>
    <n v="12"/>
    <n v="2500"/>
    <n v="30000"/>
  </r>
  <r>
    <n v="1013"/>
    <d v="2026-08-13T00:00:00"/>
    <s v="August"/>
    <x v="0"/>
    <x v="3"/>
    <x v="1"/>
    <n v="2"/>
    <n v="55000"/>
    <n v="110000"/>
  </r>
  <r>
    <n v="1014"/>
    <d v="2026-08-14T00:00:00"/>
    <s v="August"/>
    <x v="1"/>
    <x v="2"/>
    <x v="3"/>
    <n v="6"/>
    <n v="22000"/>
    <n v="132000"/>
  </r>
  <r>
    <n v="1015"/>
    <d v="2026-08-15T00:00:00"/>
    <s v="August"/>
    <x v="2"/>
    <x v="1"/>
    <x v="0"/>
    <n v="7"/>
    <n v="18000"/>
    <n v="126000"/>
  </r>
  <r>
    <n v="1016"/>
    <d v="2026-08-16T00:00:00"/>
    <s v="August"/>
    <x v="3"/>
    <x v="0"/>
    <x v="2"/>
    <n v="9"/>
    <n v="2500"/>
    <n v="22500"/>
  </r>
  <r>
    <n v="1017"/>
    <d v="2026-08-17T00:00:00"/>
    <s v="August"/>
    <x v="0"/>
    <x v="0"/>
    <x v="3"/>
    <n v="5"/>
    <n v="55000"/>
    <n v="275000"/>
  </r>
  <r>
    <n v="1018"/>
    <d v="2026-08-18T00:00:00"/>
    <s v="August"/>
    <x v="1"/>
    <x v="1"/>
    <x v="2"/>
    <n v="4"/>
    <n v="22000"/>
    <n v="88000"/>
  </r>
  <r>
    <n v="1019"/>
    <d v="2026-08-19T00:00:00"/>
    <s v="August"/>
    <x v="2"/>
    <x v="2"/>
    <x v="0"/>
    <n v="8"/>
    <n v="18000"/>
    <n v="144000"/>
  </r>
  <r>
    <n v="1020"/>
    <d v="2026-08-20T00:00:00"/>
    <s v="August"/>
    <x v="3"/>
    <x v="3"/>
    <x v="1"/>
    <n v="15"/>
    <n v="2500"/>
    <n v="37500"/>
  </r>
  <r>
    <n v="1021"/>
    <d v="2026-08-21T00:00:00"/>
    <s v="August"/>
    <x v="0"/>
    <x v="1"/>
    <x v="2"/>
    <n v="3"/>
    <n v="55000"/>
    <n v="165000"/>
  </r>
  <r>
    <n v="1022"/>
    <d v="2026-08-22T00:00:00"/>
    <s v="August"/>
    <x v="1"/>
    <x v="0"/>
    <x v="1"/>
    <n v="8"/>
    <n v="22000"/>
    <n v="176000"/>
  </r>
  <r>
    <n v="1023"/>
    <d v="2026-08-23T00:00:00"/>
    <s v="August"/>
    <x v="2"/>
    <x v="3"/>
    <x v="3"/>
    <n v="4"/>
    <n v="18000"/>
    <n v="72000"/>
  </r>
  <r>
    <n v="1024"/>
    <d v="2026-08-24T00:00:00"/>
    <s v="August"/>
    <x v="3"/>
    <x v="2"/>
    <x v="0"/>
    <n v="11"/>
    <n v="2500"/>
    <n v="27500"/>
  </r>
  <r>
    <n v="1025"/>
    <d v="2026-08-25T00:00:00"/>
    <s v="August"/>
    <x v="0"/>
    <x v="2"/>
    <x v="1"/>
    <n v="2"/>
    <n v="55000"/>
    <n v="110000"/>
  </r>
  <r>
    <n v="1026"/>
    <d v="2026-08-26T00:00:00"/>
    <s v="August"/>
    <x v="1"/>
    <x v="3"/>
    <x v="2"/>
    <n v="5"/>
    <n v="22000"/>
    <n v="110000"/>
  </r>
  <r>
    <n v="1027"/>
    <d v="2026-08-27T00:00:00"/>
    <s v="August"/>
    <x v="2"/>
    <x v="0"/>
    <x v="0"/>
    <n v="6"/>
    <n v="18000"/>
    <n v="108000"/>
  </r>
  <r>
    <n v="1028"/>
    <d v="2026-08-28T00:00:00"/>
    <s v="August"/>
    <x v="3"/>
    <x v="1"/>
    <x v="3"/>
    <n v="14"/>
    <n v="2500"/>
    <n v="35000"/>
  </r>
  <r>
    <n v="1029"/>
    <d v="2026-08-29T00:00:00"/>
    <s v="August"/>
    <x v="0"/>
    <x v="3"/>
    <x v="3"/>
    <n v="4"/>
    <n v="55000"/>
    <n v="220000"/>
  </r>
  <r>
    <n v="1030"/>
    <d v="2026-08-30T00:00:00"/>
    <s v="August"/>
    <x v="1"/>
    <x v="2"/>
    <x v="0"/>
    <n v="7"/>
    <n v="22000"/>
    <n v="154000"/>
  </r>
  <r>
    <n v="1031"/>
    <d v="2026-08-31T00:00:00"/>
    <s v="August"/>
    <x v="2"/>
    <x v="1"/>
    <x v="1"/>
    <n v="5"/>
    <n v="18000"/>
    <n v="90000"/>
  </r>
  <r>
    <n v="1032"/>
    <d v="2026-09-01T00:00:00"/>
    <s v="September"/>
    <x v="3"/>
    <x v="0"/>
    <x v="2"/>
    <n v="13"/>
    <n v="2500"/>
    <n v="32500"/>
  </r>
  <r>
    <n v="1033"/>
    <d v="2026-09-02T00:00:00"/>
    <s v="September"/>
    <x v="0"/>
    <x v="0"/>
    <x v="1"/>
    <n v="3"/>
    <n v="55000"/>
    <n v="165000"/>
  </r>
  <r>
    <n v="1034"/>
    <d v="2026-09-03T00:00:00"/>
    <s v="September"/>
    <x v="1"/>
    <x v="1"/>
    <x v="3"/>
    <n v="6"/>
    <n v="22000"/>
    <n v="132000"/>
  </r>
  <r>
    <n v="1035"/>
    <d v="2026-09-04T00:00:00"/>
    <s v="September"/>
    <x v="2"/>
    <x v="2"/>
    <x v="2"/>
    <n v="9"/>
    <n v="18000"/>
    <n v="162000"/>
  </r>
  <r>
    <n v="1036"/>
    <d v="2026-09-05T00:00:00"/>
    <s v="September"/>
    <x v="3"/>
    <x v="3"/>
    <x v="0"/>
    <n v="16"/>
    <n v="2500"/>
    <n v="40000"/>
  </r>
  <r>
    <n v="1037"/>
    <d v="2026-09-06T00:00:00"/>
    <s v="September"/>
    <x v="0"/>
    <x v="1"/>
    <x v="3"/>
    <n v="2"/>
    <n v="55000"/>
    <n v="110000"/>
  </r>
  <r>
    <n v="1038"/>
    <d v="2026-09-07T00:00:00"/>
    <s v="September"/>
    <x v="1"/>
    <x v="0"/>
    <x v="0"/>
    <n v="9"/>
    <n v="22000"/>
    <n v="198000"/>
  </r>
  <r>
    <n v="1039"/>
    <d v="2026-09-08T00:00:00"/>
    <s v="September"/>
    <x v="2"/>
    <x v="3"/>
    <x v="2"/>
    <n v="6"/>
    <n v="18000"/>
    <n v="108000"/>
  </r>
  <r>
    <n v="1040"/>
    <d v="2026-09-09T00:00:00"/>
    <s v="September"/>
    <x v="3"/>
    <x v="2"/>
    <x v="1"/>
    <n v="12"/>
    <n v="2500"/>
    <n v="30000"/>
  </r>
  <r>
    <n v="1041"/>
    <d v="2026-09-10T00:00:00"/>
    <s v="September"/>
    <x v="0"/>
    <x v="2"/>
    <x v="0"/>
    <n v="5"/>
    <n v="55000"/>
    <n v="275000"/>
  </r>
  <r>
    <n v="1042"/>
    <d v="2026-09-11T00:00:00"/>
    <s v="September"/>
    <x v="1"/>
    <x v="3"/>
    <x v="1"/>
    <n v="4"/>
    <n v="22000"/>
    <n v="88000"/>
  </r>
  <r>
    <n v="1043"/>
    <d v="2026-09-12T00:00:00"/>
    <s v="September"/>
    <x v="2"/>
    <x v="0"/>
    <x v="3"/>
    <n v="7"/>
    <n v="18000"/>
    <n v="126000"/>
  </r>
  <r>
    <n v="1044"/>
    <d v="2026-09-13T00:00:00"/>
    <s v="September"/>
    <x v="3"/>
    <x v="1"/>
    <x v="2"/>
    <n v="18"/>
    <n v="2500"/>
    <n v="45000"/>
  </r>
  <r>
    <n v="1045"/>
    <d v="2026-09-14T00:00:00"/>
    <s v="September"/>
    <x v="0"/>
    <x v="3"/>
    <x v="2"/>
    <n v="3"/>
    <n v="55000"/>
    <n v="165000"/>
  </r>
  <r>
    <n v="1046"/>
    <d v="2026-09-15T00:00:00"/>
    <s v="September"/>
    <x v="1"/>
    <x v="2"/>
    <x v="3"/>
    <n v="8"/>
    <n v="22000"/>
    <n v="176000"/>
  </r>
  <r>
    <n v="1047"/>
    <d v="2026-09-16T00:00:00"/>
    <s v="September"/>
    <x v="2"/>
    <x v="1"/>
    <x v="0"/>
    <n v="6"/>
    <n v="18000"/>
    <n v="108000"/>
  </r>
  <r>
    <n v="1048"/>
    <d v="2026-09-17T00:00:00"/>
    <s v="September"/>
    <x v="3"/>
    <x v="0"/>
    <x v="1"/>
    <n v="10"/>
    <n v="2500"/>
    <n v="25000"/>
  </r>
  <r>
    <n v="1049"/>
    <d v="2026-09-18T00:00:00"/>
    <s v="September"/>
    <x v="0"/>
    <x v="0"/>
    <x v="2"/>
    <n v="4"/>
    <n v="55000"/>
    <n v="220000"/>
  </r>
  <r>
    <n v="1050"/>
    <d v="2026-09-19T00:00:00"/>
    <s v="September"/>
    <x v="1"/>
    <x v="1"/>
    <x v="0"/>
    <n v="7"/>
    <n v="22000"/>
    <n v="15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15A2F-CE3C-4E3A-847A-8627C41CABDB}" name="PivotTable1" cacheId="8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:M18" firstHeaderRow="0" firstDataRow="1" firstDataCol="2" rowPageCount="1" colPageCount="1"/>
  <pivotFields count="7"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axis="axisPage" compact="0" outline="0" showAll="0">
      <items count="5">
        <item h="1" x="2"/>
        <item h="1" x="1"/>
        <item h="1" x="0"/>
        <item x="3"/>
        <item t="default"/>
      </items>
    </pivotField>
    <pivotField dataField="1" compact="0" outline="0" showAll="0"/>
    <pivotField compact="0" outline="0" showAll="0"/>
    <pivotField dataField="1" compact="0" outline="0" showAll="0"/>
  </pivotFields>
  <rowFields count="2">
    <field x="2"/>
    <field x="1"/>
  </rowFields>
  <rowItems count="15">
    <i>
      <x/>
      <x/>
    </i>
    <i r="1">
      <x v="2"/>
    </i>
    <i t="default">
      <x/>
    </i>
    <i>
      <x v="1"/>
      <x v="1"/>
    </i>
    <i r="1">
      <x v="3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3"/>
    </i>
    <i t="default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Sum of Sales Amount" fld="6" baseField="0" baseItem="0"/>
    <dataField name="Sum of Quantity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CC74D-806B-492E-AE83-BA135EB4E7A6}" name="PivotTable3" cacheId="8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2:N8" firstHeaderRow="1" firstDataRow="1" firstDataCol="1"/>
  <pivotFields count="2">
    <pivotField axis="axisRow" compact="0" outline="0" showAll="0">
      <items count="6">
        <item x="3"/>
        <item x="1"/>
        <item x="4"/>
        <item x="2"/>
        <item x="0"/>
        <item t="default"/>
      </items>
    </pivotField>
    <pivotField dataField="1"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969F1-19A7-4954-B09D-1E3AA6A9DE1D}" name="PivotTable4" cacheId="8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:L8" firstHeaderRow="0" firstDataRow="1" firstDataCol="1"/>
  <pivotFields count="6"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3" baseField="0" baseItem="0"/>
    <dataField name="Sum of Sales Amount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E24BA-2F76-4466-A2C6-EFA0E058D361}" name="PivotTable2" cacheId="8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L8" firstHeaderRow="0" firstDataRow="1" firstDataCol="1"/>
  <pivotFields count="7"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dataField="1" compact="0" outline="0" showAll="0"/>
    <pivotField compact="0" outline="0" showAll="0"/>
    <pivotField dataField="1" compact="0" outline="0" showAll="0">
      <items count="27">
        <item x="3"/>
        <item x="13"/>
        <item x="6"/>
        <item x="19"/>
        <item x="10"/>
        <item x="21"/>
        <item x="20"/>
        <item x="17"/>
        <item x="23"/>
        <item x="25"/>
        <item x="8"/>
        <item x="2"/>
        <item x="15"/>
        <item x="9"/>
        <item x="5"/>
        <item x="1"/>
        <item x="12"/>
        <item x="11"/>
        <item x="16"/>
        <item x="4"/>
        <item x="22"/>
        <item x="0"/>
        <item x="18"/>
        <item x="24"/>
        <item x="7"/>
        <item x="1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4" baseField="0" baseItem="0"/>
    <dataField name="Average of Sales Amount" fld="6" subtotal="average" baseField="0" baseItem="0"/>
    <dataField name="Sum of Sales Amount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75E33-B15D-4A93-9A1E-1EB1D21BF865}" name="PivotTable4" cacheId="8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4:P8" firstHeaderRow="1" firstDataRow="2" firstDataCol="1" rowPageCount="2" colPageCount="1"/>
  <pivotFields count="9">
    <pivotField compact="0" outline="0" showAll="0"/>
    <pivotField compact="0" numFmtId="14" outline="0" showAll="0"/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5">
        <item x="3"/>
        <item x="0"/>
        <item x="1"/>
        <item x="2"/>
        <item t="default"/>
      </items>
    </pivotField>
    <pivotField axis="axisPage" compact="0" outline="0" showAll="0">
      <items count="5">
        <item x="2"/>
        <item x="0"/>
        <item x="1"/>
        <item x="3"/>
        <item t="default"/>
      </items>
    </pivotField>
    <pivotField axis="axisPage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2">
    <pageField fld="4" hier="-1"/>
    <pageField fld="5" hier="-1"/>
  </pageFields>
  <dataFields count="1">
    <dataField name="Sum of Sales Amount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7467E-DE3B-4E77-B50C-1EC2D0B8ACE6}" name="PivotTable5" cacheId="8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3:U10" firstHeaderRow="1" firstDataRow="3" firstDataCol="1" rowPageCount="1" colPageCount="1"/>
  <pivotFields count="9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axis="axisCol" compact="0" outline="0" showAll="0">
      <items count="5">
        <item x="2"/>
        <item x="0"/>
        <item x="1"/>
        <item x="3"/>
        <item t="default"/>
      </items>
    </pivotField>
    <pivotField axis="axisPage" compact="0" outline="0" showAll="0">
      <items count="5">
        <item x="2"/>
        <item x="1"/>
        <item x="0"/>
        <item x="3"/>
        <item t="default"/>
      </items>
    </pivotField>
    <pivotField dataField="1" compact="0" outline="0" showAll="0"/>
    <pivotField compact="0" outline="0" showAll="0"/>
    <pivotField dataField="1"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4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5" hier="-1"/>
  </pageFields>
  <dataFields count="2">
    <dataField name="Sum of Sales Amount" fld="8" baseField="0" baseItem="0"/>
    <dataField name="Sum of Quantity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C9F23-EC4F-4B0B-B443-EBFFA35EE9C7}" name="PivotTable3" cacheId="8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O3:P8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4950A-56ED-41CB-BCE6-26821AE4C443}" name="PivotTable2" cacheId="8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10:M15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3A043-B724-4B1A-84F1-F324694AC051}" name="PivotTable1" cacheId="8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3:M8" firstHeaderRow="1" firstDataRow="1" firstDataCol="1"/>
  <pivotFields count="9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8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sqref="A1:G1"/>
    </sheetView>
  </sheetViews>
  <sheetFormatPr defaultRowHeight="15"/>
  <cols>
    <col min="1" max="1" width="9.42578125" bestFit="1" customWidth="1"/>
    <col min="2" max="2" width="6.5703125" bestFit="1" customWidth="1"/>
    <col min="4" max="4" width="9.42578125" bestFit="1" customWidth="1"/>
    <col min="5" max="5" width="7.85546875" customWidth="1"/>
  </cols>
  <sheetData>
    <row r="1" spans="1:7" ht="18.75">
      <c r="A1" s="5" t="s">
        <v>0</v>
      </c>
      <c r="B1" s="6"/>
      <c r="C1" s="6"/>
      <c r="D1" s="6"/>
      <c r="E1" s="6"/>
      <c r="F1" s="6"/>
      <c r="G1" s="7"/>
    </row>
    <row r="3" spans="1:7">
      <c r="A3" s="1" t="s">
        <v>1</v>
      </c>
      <c r="B3" s="1" t="s">
        <v>2</v>
      </c>
      <c r="D3" s="1" t="s">
        <v>1</v>
      </c>
      <c r="E3" s="1" t="s">
        <v>2</v>
      </c>
    </row>
    <row r="4" spans="1:7">
      <c r="A4" t="s">
        <v>3</v>
      </c>
      <c r="B4">
        <v>500</v>
      </c>
      <c r="D4" t="s">
        <v>4</v>
      </c>
      <c r="E4">
        <f>_xlfn.XLOOKUP(D4,A4:A7,B4:B7,"Not Found")</f>
        <v>800</v>
      </c>
    </row>
    <row r="5" spans="1:7">
      <c r="A5" t="s">
        <v>4</v>
      </c>
      <c r="B5">
        <v>800</v>
      </c>
      <c r="D5" t="s">
        <v>5</v>
      </c>
      <c r="E5">
        <f t="shared" ref="E5:E6" si="0">_xlfn.XLOOKUP(D5,A5:A8,B5:B8,"Not Found")</f>
        <v>1500</v>
      </c>
    </row>
    <row r="6" spans="1:7">
      <c r="A6" t="s">
        <v>6</v>
      </c>
      <c r="B6">
        <v>18000</v>
      </c>
      <c r="D6" t="s">
        <v>3</v>
      </c>
      <c r="E6">
        <f>_xlfn.XLOOKUP(D6,A4:A7,B4:B7,"Not Found")</f>
        <v>500</v>
      </c>
    </row>
    <row r="7" spans="1:7">
      <c r="A7" t="s">
        <v>5</v>
      </c>
      <c r="B7">
        <v>1500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64D4-03D3-4DB1-99D1-C25B9B6A81EE}">
  <dimension ref="A1:I53"/>
  <sheetViews>
    <sheetView workbookViewId="0">
      <selection activeCell="H3" sqref="H3:I8"/>
    </sheetView>
  </sheetViews>
  <sheetFormatPr defaultRowHeight="15"/>
  <cols>
    <col min="1" max="1" width="8.7109375" bestFit="1" customWidth="1"/>
    <col min="2" max="2" width="9.42578125" bestFit="1" customWidth="1"/>
    <col min="3" max="3" width="9" bestFit="1" customWidth="1"/>
    <col min="4" max="4" width="9.85546875" bestFit="1" customWidth="1"/>
    <col min="7" max="7" width="9.42578125" bestFit="1" customWidth="1"/>
  </cols>
  <sheetData>
    <row r="1" spans="1:9" ht="18.75">
      <c r="A1" s="5" t="s">
        <v>7</v>
      </c>
      <c r="B1" s="6"/>
      <c r="C1" s="6"/>
      <c r="D1" s="6"/>
      <c r="E1" s="6"/>
      <c r="F1" s="6"/>
      <c r="G1" s="7"/>
    </row>
    <row r="3" spans="1:9">
      <c r="A3" s="1" t="s">
        <v>8</v>
      </c>
      <c r="B3" s="1" t="s">
        <v>1</v>
      </c>
      <c r="C3" s="1" t="s">
        <v>9</v>
      </c>
      <c r="D3" s="1" t="s">
        <v>10</v>
      </c>
      <c r="H3" s="1" t="s">
        <v>1</v>
      </c>
      <c r="I3" s="1" t="s">
        <v>2</v>
      </c>
    </row>
    <row r="4" spans="1:9">
      <c r="A4" t="s">
        <v>11</v>
      </c>
      <c r="B4" t="s">
        <v>3</v>
      </c>
      <c r="C4">
        <v>2</v>
      </c>
      <c r="D4">
        <f>VLOOKUP(B4,$H$4:$I$8,2,FALSE)*C4</f>
        <v>1000</v>
      </c>
      <c r="H4" t="s">
        <v>3</v>
      </c>
      <c r="I4">
        <v>500</v>
      </c>
    </row>
    <row r="5" spans="1:9">
      <c r="A5" t="s">
        <v>12</v>
      </c>
      <c r="B5" t="s">
        <v>4</v>
      </c>
      <c r="C5">
        <v>1</v>
      </c>
      <c r="D5">
        <f t="shared" ref="D5:D53" si="0">VLOOKUP(B5,$H$4:$I$8,2,FALSE)*C5</f>
        <v>800</v>
      </c>
      <c r="H5" t="s">
        <v>4</v>
      </c>
      <c r="I5">
        <v>800</v>
      </c>
    </row>
    <row r="6" spans="1:9">
      <c r="A6" t="s">
        <v>13</v>
      </c>
      <c r="B6" t="s">
        <v>6</v>
      </c>
      <c r="C6">
        <v>3</v>
      </c>
      <c r="D6">
        <f t="shared" si="0"/>
        <v>54000</v>
      </c>
      <c r="H6" t="s">
        <v>6</v>
      </c>
      <c r="I6">
        <v>18000</v>
      </c>
    </row>
    <row r="7" spans="1:9">
      <c r="A7" t="s">
        <v>14</v>
      </c>
      <c r="B7" t="s">
        <v>5</v>
      </c>
      <c r="C7">
        <v>2</v>
      </c>
      <c r="D7">
        <f t="shared" si="0"/>
        <v>3000</v>
      </c>
      <c r="H7" t="s">
        <v>5</v>
      </c>
      <c r="I7">
        <v>1500</v>
      </c>
    </row>
    <row r="8" spans="1:9">
      <c r="A8" t="s">
        <v>15</v>
      </c>
      <c r="B8" t="s">
        <v>16</v>
      </c>
      <c r="C8">
        <v>1</v>
      </c>
      <c r="D8">
        <f t="shared" si="0"/>
        <v>65000</v>
      </c>
      <c r="H8" t="s">
        <v>16</v>
      </c>
      <c r="I8">
        <v>65000</v>
      </c>
    </row>
    <row r="9" spans="1:9">
      <c r="A9" t="s">
        <v>17</v>
      </c>
      <c r="B9" t="s">
        <v>3</v>
      </c>
      <c r="C9">
        <v>5</v>
      </c>
      <c r="D9">
        <f t="shared" si="0"/>
        <v>2500</v>
      </c>
    </row>
    <row r="10" spans="1:9">
      <c r="A10" t="s">
        <v>18</v>
      </c>
      <c r="B10" t="s">
        <v>4</v>
      </c>
      <c r="C10">
        <v>2</v>
      </c>
      <c r="D10">
        <f t="shared" si="0"/>
        <v>1600</v>
      </c>
    </row>
    <row r="11" spans="1:9">
      <c r="A11" t="s">
        <v>19</v>
      </c>
      <c r="B11" t="s">
        <v>6</v>
      </c>
      <c r="C11">
        <v>1</v>
      </c>
      <c r="D11">
        <f t="shared" si="0"/>
        <v>18000</v>
      </c>
    </row>
    <row r="12" spans="1:9">
      <c r="A12" t="s">
        <v>20</v>
      </c>
      <c r="B12" t="s">
        <v>5</v>
      </c>
      <c r="C12">
        <v>4</v>
      </c>
      <c r="D12">
        <f t="shared" si="0"/>
        <v>6000</v>
      </c>
    </row>
    <row r="13" spans="1:9">
      <c r="A13" t="s">
        <v>21</v>
      </c>
      <c r="B13" t="s">
        <v>16</v>
      </c>
      <c r="C13">
        <v>2</v>
      </c>
      <c r="D13">
        <f t="shared" si="0"/>
        <v>130000</v>
      </c>
    </row>
    <row r="14" spans="1:9">
      <c r="A14" t="s">
        <v>22</v>
      </c>
      <c r="B14" t="s">
        <v>3</v>
      </c>
      <c r="C14">
        <v>3</v>
      </c>
      <c r="D14">
        <f t="shared" si="0"/>
        <v>1500</v>
      </c>
    </row>
    <row r="15" spans="1:9">
      <c r="A15" t="s">
        <v>23</v>
      </c>
      <c r="B15" t="s">
        <v>4</v>
      </c>
      <c r="C15">
        <v>4</v>
      </c>
      <c r="D15">
        <f t="shared" si="0"/>
        <v>3200</v>
      </c>
    </row>
    <row r="16" spans="1:9">
      <c r="A16" t="s">
        <v>24</v>
      </c>
      <c r="B16" t="s">
        <v>6</v>
      </c>
      <c r="C16">
        <v>2</v>
      </c>
      <c r="D16">
        <f t="shared" si="0"/>
        <v>36000</v>
      </c>
    </row>
    <row r="17" spans="1:4">
      <c r="A17" t="s">
        <v>25</v>
      </c>
      <c r="B17" t="s">
        <v>5</v>
      </c>
      <c r="C17">
        <v>1</v>
      </c>
      <c r="D17">
        <f t="shared" si="0"/>
        <v>1500</v>
      </c>
    </row>
    <row r="18" spans="1:4">
      <c r="A18" t="s">
        <v>26</v>
      </c>
      <c r="B18" t="s">
        <v>16</v>
      </c>
      <c r="C18">
        <v>1</v>
      </c>
      <c r="D18">
        <f t="shared" si="0"/>
        <v>65000</v>
      </c>
    </row>
    <row r="19" spans="1:4">
      <c r="A19" t="s">
        <v>27</v>
      </c>
      <c r="B19" t="s">
        <v>3</v>
      </c>
      <c r="C19">
        <v>6</v>
      </c>
      <c r="D19">
        <f t="shared" si="0"/>
        <v>3000</v>
      </c>
    </row>
    <row r="20" spans="1:4">
      <c r="A20" t="s">
        <v>28</v>
      </c>
      <c r="B20" t="s">
        <v>4</v>
      </c>
      <c r="C20">
        <v>3</v>
      </c>
      <c r="D20">
        <f t="shared" si="0"/>
        <v>2400</v>
      </c>
    </row>
    <row r="21" spans="1:4">
      <c r="A21" t="s">
        <v>29</v>
      </c>
      <c r="B21" t="s">
        <v>6</v>
      </c>
      <c r="C21">
        <v>1</v>
      </c>
      <c r="D21">
        <f t="shared" si="0"/>
        <v>18000</v>
      </c>
    </row>
    <row r="22" spans="1:4">
      <c r="A22" t="s">
        <v>30</v>
      </c>
      <c r="B22" t="s">
        <v>5</v>
      </c>
      <c r="C22">
        <v>2</v>
      </c>
      <c r="D22">
        <f t="shared" si="0"/>
        <v>3000</v>
      </c>
    </row>
    <row r="23" spans="1:4">
      <c r="A23" t="s">
        <v>31</v>
      </c>
      <c r="B23" t="s">
        <v>16</v>
      </c>
      <c r="C23">
        <v>3</v>
      </c>
      <c r="D23">
        <f t="shared" si="0"/>
        <v>195000</v>
      </c>
    </row>
    <row r="24" spans="1:4">
      <c r="A24" t="s">
        <v>32</v>
      </c>
      <c r="B24" t="s">
        <v>3</v>
      </c>
      <c r="C24">
        <v>1</v>
      </c>
      <c r="D24">
        <f t="shared" si="0"/>
        <v>500</v>
      </c>
    </row>
    <row r="25" spans="1:4">
      <c r="A25" t="s">
        <v>33</v>
      </c>
      <c r="B25" t="s">
        <v>4</v>
      </c>
      <c r="C25">
        <v>5</v>
      </c>
      <c r="D25">
        <f t="shared" si="0"/>
        <v>4000</v>
      </c>
    </row>
    <row r="26" spans="1:4">
      <c r="A26" t="s">
        <v>34</v>
      </c>
      <c r="B26" t="s">
        <v>6</v>
      </c>
      <c r="C26">
        <v>2</v>
      </c>
      <c r="D26">
        <f t="shared" si="0"/>
        <v>36000</v>
      </c>
    </row>
    <row r="27" spans="1:4">
      <c r="A27" t="s">
        <v>35</v>
      </c>
      <c r="B27" t="s">
        <v>5</v>
      </c>
      <c r="C27">
        <v>3</v>
      </c>
      <c r="D27">
        <f t="shared" si="0"/>
        <v>4500</v>
      </c>
    </row>
    <row r="28" spans="1:4">
      <c r="A28" t="s">
        <v>36</v>
      </c>
      <c r="B28" t="s">
        <v>16</v>
      </c>
      <c r="C28">
        <v>1</v>
      </c>
      <c r="D28">
        <f t="shared" si="0"/>
        <v>65000</v>
      </c>
    </row>
    <row r="29" spans="1:4">
      <c r="A29" t="s">
        <v>37</v>
      </c>
      <c r="B29" t="s">
        <v>3</v>
      </c>
      <c r="C29">
        <v>4</v>
      </c>
      <c r="D29">
        <f t="shared" si="0"/>
        <v>2000</v>
      </c>
    </row>
    <row r="30" spans="1:4">
      <c r="A30" t="s">
        <v>38</v>
      </c>
      <c r="B30" t="s">
        <v>4</v>
      </c>
      <c r="C30">
        <v>1</v>
      </c>
      <c r="D30">
        <f t="shared" si="0"/>
        <v>800</v>
      </c>
    </row>
    <row r="31" spans="1:4">
      <c r="A31" t="s">
        <v>39</v>
      </c>
      <c r="B31" t="s">
        <v>6</v>
      </c>
      <c r="C31">
        <v>3</v>
      </c>
      <c r="D31">
        <f t="shared" si="0"/>
        <v>54000</v>
      </c>
    </row>
    <row r="32" spans="1:4">
      <c r="A32" t="s">
        <v>40</v>
      </c>
      <c r="B32" t="s">
        <v>5</v>
      </c>
      <c r="C32">
        <v>2</v>
      </c>
      <c r="D32">
        <f t="shared" si="0"/>
        <v>3000</v>
      </c>
    </row>
    <row r="33" spans="1:4">
      <c r="A33" t="s">
        <v>41</v>
      </c>
      <c r="B33" t="s">
        <v>16</v>
      </c>
      <c r="C33">
        <v>2</v>
      </c>
      <c r="D33">
        <f t="shared" si="0"/>
        <v>130000</v>
      </c>
    </row>
    <row r="34" spans="1:4">
      <c r="A34" t="s">
        <v>42</v>
      </c>
      <c r="B34" t="s">
        <v>3</v>
      </c>
      <c r="C34">
        <v>2</v>
      </c>
      <c r="D34">
        <f t="shared" si="0"/>
        <v>1000</v>
      </c>
    </row>
    <row r="35" spans="1:4">
      <c r="A35" t="s">
        <v>43</v>
      </c>
      <c r="B35" t="s">
        <v>4</v>
      </c>
      <c r="C35">
        <v>3</v>
      </c>
      <c r="D35">
        <f t="shared" si="0"/>
        <v>2400</v>
      </c>
    </row>
    <row r="36" spans="1:4">
      <c r="A36" t="s">
        <v>44</v>
      </c>
      <c r="B36" t="s">
        <v>6</v>
      </c>
      <c r="C36">
        <v>1</v>
      </c>
      <c r="D36">
        <f t="shared" si="0"/>
        <v>18000</v>
      </c>
    </row>
    <row r="37" spans="1:4">
      <c r="A37" t="s">
        <v>45</v>
      </c>
      <c r="B37" t="s">
        <v>5</v>
      </c>
      <c r="C37">
        <v>5</v>
      </c>
      <c r="D37">
        <f t="shared" si="0"/>
        <v>7500</v>
      </c>
    </row>
    <row r="38" spans="1:4">
      <c r="A38" t="s">
        <v>46</v>
      </c>
      <c r="B38" t="s">
        <v>16</v>
      </c>
      <c r="C38">
        <v>1</v>
      </c>
      <c r="D38">
        <f t="shared" si="0"/>
        <v>65000</v>
      </c>
    </row>
    <row r="39" spans="1:4">
      <c r="A39" t="s">
        <v>47</v>
      </c>
      <c r="B39" t="s">
        <v>3</v>
      </c>
      <c r="C39">
        <v>3</v>
      </c>
      <c r="D39">
        <f t="shared" si="0"/>
        <v>1500</v>
      </c>
    </row>
    <row r="40" spans="1:4">
      <c r="A40" t="s">
        <v>48</v>
      </c>
      <c r="B40" t="s">
        <v>4</v>
      </c>
      <c r="C40">
        <v>2</v>
      </c>
      <c r="D40">
        <f t="shared" si="0"/>
        <v>1600</v>
      </c>
    </row>
    <row r="41" spans="1:4">
      <c r="A41" t="s">
        <v>49</v>
      </c>
      <c r="B41" t="s">
        <v>6</v>
      </c>
      <c r="C41">
        <v>4</v>
      </c>
      <c r="D41">
        <f t="shared" si="0"/>
        <v>72000</v>
      </c>
    </row>
    <row r="42" spans="1:4">
      <c r="A42" t="s">
        <v>50</v>
      </c>
      <c r="B42" t="s">
        <v>5</v>
      </c>
      <c r="C42">
        <v>1</v>
      </c>
      <c r="D42">
        <f t="shared" si="0"/>
        <v>1500</v>
      </c>
    </row>
    <row r="43" spans="1:4">
      <c r="A43" t="s">
        <v>51</v>
      </c>
      <c r="B43" t="s">
        <v>16</v>
      </c>
      <c r="C43">
        <v>2</v>
      </c>
      <c r="D43">
        <f t="shared" si="0"/>
        <v>130000</v>
      </c>
    </row>
    <row r="44" spans="1:4">
      <c r="A44" t="s">
        <v>52</v>
      </c>
      <c r="B44" t="s">
        <v>3</v>
      </c>
      <c r="C44">
        <v>5</v>
      </c>
      <c r="D44">
        <f t="shared" si="0"/>
        <v>2500</v>
      </c>
    </row>
    <row r="45" spans="1:4">
      <c r="A45" t="s">
        <v>53</v>
      </c>
      <c r="B45" t="s">
        <v>4</v>
      </c>
      <c r="C45">
        <v>1</v>
      </c>
      <c r="D45">
        <f t="shared" si="0"/>
        <v>800</v>
      </c>
    </row>
    <row r="46" spans="1:4">
      <c r="A46" t="s">
        <v>54</v>
      </c>
      <c r="B46" t="s">
        <v>6</v>
      </c>
      <c r="C46">
        <v>2</v>
      </c>
      <c r="D46">
        <f t="shared" si="0"/>
        <v>36000</v>
      </c>
    </row>
    <row r="47" spans="1:4">
      <c r="A47" t="s">
        <v>55</v>
      </c>
      <c r="B47" t="s">
        <v>5</v>
      </c>
      <c r="C47">
        <v>3</v>
      </c>
      <c r="D47">
        <f t="shared" si="0"/>
        <v>4500</v>
      </c>
    </row>
    <row r="48" spans="1:4">
      <c r="A48" t="s">
        <v>56</v>
      </c>
      <c r="B48" t="s">
        <v>16</v>
      </c>
      <c r="C48">
        <v>1</v>
      </c>
      <c r="D48">
        <f t="shared" si="0"/>
        <v>65000</v>
      </c>
    </row>
    <row r="49" spans="1:4">
      <c r="A49" t="s">
        <v>57</v>
      </c>
      <c r="B49" t="s">
        <v>3</v>
      </c>
      <c r="C49">
        <v>2</v>
      </c>
      <c r="D49">
        <f t="shared" si="0"/>
        <v>1000</v>
      </c>
    </row>
    <row r="50" spans="1:4">
      <c r="A50" t="s">
        <v>58</v>
      </c>
      <c r="B50" t="s">
        <v>4</v>
      </c>
      <c r="C50">
        <v>4</v>
      </c>
      <c r="D50">
        <f t="shared" si="0"/>
        <v>3200</v>
      </c>
    </row>
    <row r="51" spans="1:4">
      <c r="A51" t="s">
        <v>59</v>
      </c>
      <c r="B51" t="s">
        <v>6</v>
      </c>
      <c r="C51">
        <v>1</v>
      </c>
      <c r="D51">
        <f t="shared" si="0"/>
        <v>18000</v>
      </c>
    </row>
    <row r="52" spans="1:4">
      <c r="A52" t="s">
        <v>60</v>
      </c>
      <c r="B52" t="s">
        <v>5</v>
      </c>
      <c r="C52">
        <v>2</v>
      </c>
      <c r="D52">
        <f t="shared" si="0"/>
        <v>3000</v>
      </c>
    </row>
    <row r="53" spans="1:4">
      <c r="A53" t="s">
        <v>61</v>
      </c>
      <c r="B53" t="s">
        <v>16</v>
      </c>
      <c r="C53">
        <v>3</v>
      </c>
      <c r="D53">
        <f t="shared" si="0"/>
        <v>195000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13F7-CBBD-49B3-92B9-2D888EF24C4A}">
  <dimension ref="A1:L53"/>
  <sheetViews>
    <sheetView topLeftCell="A50" workbookViewId="0">
      <selection activeCell="A3" sqref="A3:K53"/>
    </sheetView>
  </sheetViews>
  <sheetFormatPr defaultRowHeight="15"/>
  <cols>
    <col min="11" max="11" width="8.7109375" bestFit="1" customWidth="1"/>
    <col min="12" max="12" width="9" bestFit="1" customWidth="1"/>
  </cols>
  <sheetData>
    <row r="1" spans="1:12" ht="18.75">
      <c r="A1" s="5" t="s">
        <v>62</v>
      </c>
      <c r="B1" s="6"/>
      <c r="C1" s="6"/>
      <c r="D1" s="6"/>
      <c r="E1" s="6"/>
      <c r="F1" s="6"/>
      <c r="G1" s="7"/>
    </row>
    <row r="3" spans="1:12">
      <c r="A3" s="1" t="s">
        <v>8</v>
      </c>
      <c r="B3" s="1" t="s">
        <v>1</v>
      </c>
      <c r="C3" s="1" t="s">
        <v>9</v>
      </c>
      <c r="D3" s="1" t="s">
        <v>10</v>
      </c>
      <c r="H3" s="1" t="s">
        <v>1</v>
      </c>
      <c r="I3" s="1" t="s">
        <v>2</v>
      </c>
      <c r="K3" s="1" t="s">
        <v>8</v>
      </c>
      <c r="L3" s="1" t="s">
        <v>9</v>
      </c>
    </row>
    <row r="4" spans="1:12">
      <c r="A4" t="s">
        <v>11</v>
      </c>
      <c r="B4" t="s">
        <v>3</v>
      </c>
      <c r="C4">
        <v>2</v>
      </c>
      <c r="D4">
        <f>VLOOKUP(B4,$H$4:$I$8,2,FALSE)*C4</f>
        <v>1000</v>
      </c>
      <c r="H4" t="s">
        <v>3</v>
      </c>
      <c r="I4">
        <v>500</v>
      </c>
      <c r="K4" t="s">
        <v>19</v>
      </c>
      <c r="L4">
        <f>INDEX($C$4:$C$55,MATCH(K4,$A$4:$A$55,0))</f>
        <v>1</v>
      </c>
    </row>
    <row r="5" spans="1:12">
      <c r="A5" t="s">
        <v>12</v>
      </c>
      <c r="B5" t="s">
        <v>4</v>
      </c>
      <c r="C5">
        <v>1</v>
      </c>
      <c r="D5">
        <f t="shared" ref="D5:D53" si="0">VLOOKUP(B5,$H$4:$I$8,2,FALSE)*C5</f>
        <v>800</v>
      </c>
      <c r="H5" t="s">
        <v>4</v>
      </c>
      <c r="I5">
        <v>800</v>
      </c>
      <c r="K5" t="s">
        <v>36</v>
      </c>
      <c r="L5">
        <f t="shared" ref="L5:L6" si="1">INDEX($C$4:$C$55,MATCH(K5,$A$4:$A$55,0))</f>
        <v>1</v>
      </c>
    </row>
    <row r="6" spans="1:12">
      <c r="A6" t="s">
        <v>13</v>
      </c>
      <c r="B6" t="s">
        <v>6</v>
      </c>
      <c r="C6">
        <v>3</v>
      </c>
      <c r="D6">
        <f t="shared" si="0"/>
        <v>54000</v>
      </c>
      <c r="H6" t="s">
        <v>6</v>
      </c>
      <c r="I6">
        <v>18000</v>
      </c>
      <c r="K6" t="s">
        <v>58</v>
      </c>
      <c r="L6">
        <f t="shared" si="1"/>
        <v>4</v>
      </c>
    </row>
    <row r="7" spans="1:12">
      <c r="A7" t="s">
        <v>14</v>
      </c>
      <c r="B7" t="s">
        <v>5</v>
      </c>
      <c r="C7">
        <v>2</v>
      </c>
      <c r="D7">
        <f t="shared" si="0"/>
        <v>3000</v>
      </c>
      <c r="H7" t="s">
        <v>5</v>
      </c>
      <c r="I7">
        <v>1500</v>
      </c>
    </row>
    <row r="8" spans="1:12">
      <c r="A8" t="s">
        <v>15</v>
      </c>
      <c r="B8" t="s">
        <v>16</v>
      </c>
      <c r="C8">
        <v>1</v>
      </c>
      <c r="D8">
        <f t="shared" si="0"/>
        <v>65000</v>
      </c>
      <c r="H8" t="s">
        <v>16</v>
      </c>
      <c r="I8">
        <v>65000</v>
      </c>
    </row>
    <row r="9" spans="1:12">
      <c r="A9" t="s">
        <v>17</v>
      </c>
      <c r="B9" t="s">
        <v>3</v>
      </c>
      <c r="C9">
        <v>5</v>
      </c>
      <c r="D9">
        <f t="shared" si="0"/>
        <v>2500</v>
      </c>
    </row>
    <row r="10" spans="1:12">
      <c r="A10" t="s">
        <v>18</v>
      </c>
      <c r="B10" t="s">
        <v>4</v>
      </c>
      <c r="C10">
        <v>2</v>
      </c>
      <c r="D10">
        <f t="shared" si="0"/>
        <v>1600</v>
      </c>
    </row>
    <row r="11" spans="1:12">
      <c r="A11" t="s">
        <v>19</v>
      </c>
      <c r="B11" t="s">
        <v>6</v>
      </c>
      <c r="C11">
        <v>1</v>
      </c>
      <c r="D11">
        <f t="shared" si="0"/>
        <v>18000</v>
      </c>
    </row>
    <row r="12" spans="1:12">
      <c r="A12" t="s">
        <v>20</v>
      </c>
      <c r="B12" t="s">
        <v>5</v>
      </c>
      <c r="C12">
        <v>4</v>
      </c>
      <c r="D12">
        <f t="shared" si="0"/>
        <v>6000</v>
      </c>
    </row>
    <row r="13" spans="1:12">
      <c r="A13" t="s">
        <v>21</v>
      </c>
      <c r="B13" t="s">
        <v>16</v>
      </c>
      <c r="C13">
        <v>2</v>
      </c>
      <c r="D13">
        <f t="shared" si="0"/>
        <v>130000</v>
      </c>
    </row>
    <row r="14" spans="1:12">
      <c r="A14" t="s">
        <v>22</v>
      </c>
      <c r="B14" t="s">
        <v>3</v>
      </c>
      <c r="C14">
        <v>3</v>
      </c>
      <c r="D14">
        <f t="shared" si="0"/>
        <v>1500</v>
      </c>
    </row>
    <row r="15" spans="1:12">
      <c r="A15" t="s">
        <v>23</v>
      </c>
      <c r="B15" t="s">
        <v>4</v>
      </c>
      <c r="C15">
        <v>4</v>
      </c>
      <c r="D15">
        <f t="shared" si="0"/>
        <v>3200</v>
      </c>
    </row>
    <row r="16" spans="1:12">
      <c r="A16" t="s">
        <v>24</v>
      </c>
      <c r="B16" t="s">
        <v>6</v>
      </c>
      <c r="C16">
        <v>2</v>
      </c>
      <c r="D16">
        <f t="shared" si="0"/>
        <v>36000</v>
      </c>
    </row>
    <row r="17" spans="1:4">
      <c r="A17" t="s">
        <v>25</v>
      </c>
      <c r="B17" t="s">
        <v>5</v>
      </c>
      <c r="C17">
        <v>1</v>
      </c>
      <c r="D17">
        <f t="shared" si="0"/>
        <v>1500</v>
      </c>
    </row>
    <row r="18" spans="1:4">
      <c r="A18" t="s">
        <v>26</v>
      </c>
      <c r="B18" t="s">
        <v>16</v>
      </c>
      <c r="C18">
        <v>1</v>
      </c>
      <c r="D18">
        <f t="shared" si="0"/>
        <v>65000</v>
      </c>
    </row>
    <row r="19" spans="1:4">
      <c r="A19" t="s">
        <v>27</v>
      </c>
      <c r="B19" t="s">
        <v>3</v>
      </c>
      <c r="C19">
        <v>6</v>
      </c>
      <c r="D19">
        <f t="shared" si="0"/>
        <v>3000</v>
      </c>
    </row>
    <row r="20" spans="1:4">
      <c r="A20" t="s">
        <v>28</v>
      </c>
      <c r="B20" t="s">
        <v>4</v>
      </c>
      <c r="C20">
        <v>3</v>
      </c>
      <c r="D20">
        <f t="shared" si="0"/>
        <v>2400</v>
      </c>
    </row>
    <row r="21" spans="1:4">
      <c r="A21" t="s">
        <v>29</v>
      </c>
      <c r="B21" t="s">
        <v>6</v>
      </c>
      <c r="C21">
        <v>1</v>
      </c>
      <c r="D21">
        <f t="shared" si="0"/>
        <v>18000</v>
      </c>
    </row>
    <row r="22" spans="1:4">
      <c r="A22" t="s">
        <v>30</v>
      </c>
      <c r="B22" t="s">
        <v>5</v>
      </c>
      <c r="C22">
        <v>2</v>
      </c>
      <c r="D22">
        <f t="shared" si="0"/>
        <v>3000</v>
      </c>
    </row>
    <row r="23" spans="1:4">
      <c r="A23" t="s">
        <v>31</v>
      </c>
      <c r="B23" t="s">
        <v>16</v>
      </c>
      <c r="C23">
        <v>3</v>
      </c>
      <c r="D23">
        <f t="shared" si="0"/>
        <v>195000</v>
      </c>
    </row>
    <row r="24" spans="1:4">
      <c r="A24" t="s">
        <v>32</v>
      </c>
      <c r="B24" t="s">
        <v>3</v>
      </c>
      <c r="C24">
        <v>1</v>
      </c>
      <c r="D24">
        <f t="shared" si="0"/>
        <v>500</v>
      </c>
    </row>
    <row r="25" spans="1:4">
      <c r="A25" t="s">
        <v>33</v>
      </c>
      <c r="B25" t="s">
        <v>4</v>
      </c>
      <c r="C25">
        <v>5</v>
      </c>
      <c r="D25">
        <f t="shared" si="0"/>
        <v>4000</v>
      </c>
    </row>
    <row r="26" spans="1:4">
      <c r="A26" t="s">
        <v>34</v>
      </c>
      <c r="B26" t="s">
        <v>6</v>
      </c>
      <c r="C26">
        <v>2</v>
      </c>
      <c r="D26">
        <f t="shared" si="0"/>
        <v>36000</v>
      </c>
    </row>
    <row r="27" spans="1:4">
      <c r="A27" t="s">
        <v>35</v>
      </c>
      <c r="B27" t="s">
        <v>5</v>
      </c>
      <c r="C27">
        <v>3</v>
      </c>
      <c r="D27">
        <f t="shared" si="0"/>
        <v>4500</v>
      </c>
    </row>
    <row r="28" spans="1:4">
      <c r="A28" t="s">
        <v>36</v>
      </c>
      <c r="B28" t="s">
        <v>16</v>
      </c>
      <c r="C28">
        <v>1</v>
      </c>
      <c r="D28">
        <f t="shared" si="0"/>
        <v>65000</v>
      </c>
    </row>
    <row r="29" spans="1:4">
      <c r="A29" t="s">
        <v>37</v>
      </c>
      <c r="B29" t="s">
        <v>3</v>
      </c>
      <c r="C29">
        <v>4</v>
      </c>
      <c r="D29">
        <f t="shared" si="0"/>
        <v>2000</v>
      </c>
    </row>
    <row r="30" spans="1:4">
      <c r="A30" t="s">
        <v>38</v>
      </c>
      <c r="B30" t="s">
        <v>4</v>
      </c>
      <c r="C30">
        <v>1</v>
      </c>
      <c r="D30">
        <f t="shared" si="0"/>
        <v>800</v>
      </c>
    </row>
    <row r="31" spans="1:4">
      <c r="A31" t="s">
        <v>39</v>
      </c>
      <c r="B31" t="s">
        <v>6</v>
      </c>
      <c r="C31">
        <v>3</v>
      </c>
      <c r="D31">
        <f t="shared" si="0"/>
        <v>54000</v>
      </c>
    </row>
    <row r="32" spans="1:4">
      <c r="A32" t="s">
        <v>40</v>
      </c>
      <c r="B32" t="s">
        <v>5</v>
      </c>
      <c r="C32">
        <v>2</v>
      </c>
      <c r="D32">
        <f t="shared" si="0"/>
        <v>3000</v>
      </c>
    </row>
    <row r="33" spans="1:4">
      <c r="A33" t="s">
        <v>41</v>
      </c>
      <c r="B33" t="s">
        <v>16</v>
      </c>
      <c r="C33">
        <v>2</v>
      </c>
      <c r="D33">
        <f t="shared" si="0"/>
        <v>130000</v>
      </c>
    </row>
    <row r="34" spans="1:4">
      <c r="A34" t="s">
        <v>42</v>
      </c>
      <c r="B34" t="s">
        <v>3</v>
      </c>
      <c r="C34">
        <v>2</v>
      </c>
      <c r="D34">
        <f t="shared" si="0"/>
        <v>1000</v>
      </c>
    </row>
    <row r="35" spans="1:4">
      <c r="A35" t="s">
        <v>43</v>
      </c>
      <c r="B35" t="s">
        <v>4</v>
      </c>
      <c r="C35">
        <v>3</v>
      </c>
      <c r="D35">
        <f t="shared" si="0"/>
        <v>2400</v>
      </c>
    </row>
    <row r="36" spans="1:4">
      <c r="A36" t="s">
        <v>44</v>
      </c>
      <c r="B36" t="s">
        <v>6</v>
      </c>
      <c r="C36">
        <v>1</v>
      </c>
      <c r="D36">
        <f t="shared" si="0"/>
        <v>18000</v>
      </c>
    </row>
    <row r="37" spans="1:4">
      <c r="A37" t="s">
        <v>45</v>
      </c>
      <c r="B37" t="s">
        <v>5</v>
      </c>
      <c r="C37">
        <v>5</v>
      </c>
      <c r="D37">
        <f t="shared" si="0"/>
        <v>7500</v>
      </c>
    </row>
    <row r="38" spans="1:4">
      <c r="A38" t="s">
        <v>46</v>
      </c>
      <c r="B38" t="s">
        <v>16</v>
      </c>
      <c r="C38">
        <v>1</v>
      </c>
      <c r="D38">
        <f t="shared" si="0"/>
        <v>65000</v>
      </c>
    </row>
    <row r="39" spans="1:4">
      <c r="A39" t="s">
        <v>47</v>
      </c>
      <c r="B39" t="s">
        <v>3</v>
      </c>
      <c r="C39">
        <v>3</v>
      </c>
      <c r="D39">
        <f t="shared" si="0"/>
        <v>1500</v>
      </c>
    </row>
    <row r="40" spans="1:4">
      <c r="A40" t="s">
        <v>48</v>
      </c>
      <c r="B40" t="s">
        <v>4</v>
      </c>
      <c r="C40">
        <v>2</v>
      </c>
      <c r="D40">
        <f t="shared" si="0"/>
        <v>1600</v>
      </c>
    </row>
    <row r="41" spans="1:4">
      <c r="A41" t="s">
        <v>49</v>
      </c>
      <c r="B41" t="s">
        <v>6</v>
      </c>
      <c r="C41">
        <v>4</v>
      </c>
      <c r="D41">
        <f t="shared" si="0"/>
        <v>72000</v>
      </c>
    </row>
    <row r="42" spans="1:4">
      <c r="A42" t="s">
        <v>50</v>
      </c>
      <c r="B42" t="s">
        <v>5</v>
      </c>
      <c r="C42">
        <v>1</v>
      </c>
      <c r="D42">
        <f t="shared" si="0"/>
        <v>1500</v>
      </c>
    </row>
    <row r="43" spans="1:4">
      <c r="A43" t="s">
        <v>51</v>
      </c>
      <c r="B43" t="s">
        <v>16</v>
      </c>
      <c r="C43">
        <v>2</v>
      </c>
      <c r="D43">
        <f t="shared" si="0"/>
        <v>130000</v>
      </c>
    </row>
    <row r="44" spans="1:4">
      <c r="A44" t="s">
        <v>52</v>
      </c>
      <c r="B44" t="s">
        <v>3</v>
      </c>
      <c r="C44">
        <v>5</v>
      </c>
      <c r="D44">
        <f t="shared" si="0"/>
        <v>2500</v>
      </c>
    </row>
    <row r="45" spans="1:4">
      <c r="A45" t="s">
        <v>53</v>
      </c>
      <c r="B45" t="s">
        <v>4</v>
      </c>
      <c r="C45">
        <v>1</v>
      </c>
      <c r="D45">
        <f t="shared" si="0"/>
        <v>800</v>
      </c>
    </row>
    <row r="46" spans="1:4">
      <c r="A46" t="s">
        <v>54</v>
      </c>
      <c r="B46" t="s">
        <v>6</v>
      </c>
      <c r="C46">
        <v>2</v>
      </c>
      <c r="D46">
        <f t="shared" si="0"/>
        <v>36000</v>
      </c>
    </row>
    <row r="47" spans="1:4">
      <c r="A47" t="s">
        <v>55</v>
      </c>
      <c r="B47" t="s">
        <v>5</v>
      </c>
      <c r="C47">
        <v>3</v>
      </c>
      <c r="D47">
        <f t="shared" si="0"/>
        <v>4500</v>
      </c>
    </row>
    <row r="48" spans="1:4">
      <c r="A48" t="s">
        <v>56</v>
      </c>
      <c r="B48" t="s">
        <v>16</v>
      </c>
      <c r="C48">
        <v>1</v>
      </c>
      <c r="D48">
        <f t="shared" si="0"/>
        <v>65000</v>
      </c>
    </row>
    <row r="49" spans="1:4">
      <c r="A49" t="s">
        <v>57</v>
      </c>
      <c r="B49" t="s">
        <v>3</v>
      </c>
      <c r="C49">
        <v>2</v>
      </c>
      <c r="D49">
        <f t="shared" si="0"/>
        <v>1000</v>
      </c>
    </row>
    <row r="50" spans="1:4">
      <c r="A50" t="s">
        <v>58</v>
      </c>
      <c r="B50" t="s">
        <v>4</v>
      </c>
      <c r="C50">
        <v>4</v>
      </c>
      <c r="D50">
        <f t="shared" si="0"/>
        <v>3200</v>
      </c>
    </row>
    <row r="51" spans="1:4">
      <c r="A51" t="s">
        <v>59</v>
      </c>
      <c r="B51" t="s">
        <v>6</v>
      </c>
      <c r="C51">
        <v>1</v>
      </c>
      <c r="D51">
        <f t="shared" si="0"/>
        <v>18000</v>
      </c>
    </row>
    <row r="52" spans="1:4">
      <c r="A52" t="s">
        <v>60</v>
      </c>
      <c r="B52" t="s">
        <v>5</v>
      </c>
      <c r="C52">
        <v>2</v>
      </c>
      <c r="D52">
        <f t="shared" si="0"/>
        <v>3000</v>
      </c>
    </row>
    <row r="53" spans="1:4">
      <c r="A53" t="s">
        <v>61</v>
      </c>
      <c r="B53" t="s">
        <v>16</v>
      </c>
      <c r="C53">
        <v>3</v>
      </c>
      <c r="D53">
        <f t="shared" si="0"/>
        <v>195000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AD46-9A82-45A8-B36F-D5737BDF86B8}">
  <dimension ref="A1:M53"/>
  <sheetViews>
    <sheetView topLeftCell="A36" workbookViewId="0">
      <selection activeCell="A3" sqref="A3:G53"/>
    </sheetView>
  </sheetViews>
  <sheetFormatPr defaultRowHeight="15"/>
  <cols>
    <col min="10" max="10" width="11.7109375" bestFit="1" customWidth="1"/>
    <col min="11" max="11" width="12.140625" bestFit="1" customWidth="1"/>
    <col min="12" max="12" width="20.42578125" bestFit="1" customWidth="1"/>
    <col min="13" max="13" width="15.85546875" bestFit="1" customWidth="1"/>
  </cols>
  <sheetData>
    <row r="1" spans="1:13" ht="18.75">
      <c r="A1" s="5" t="s">
        <v>63</v>
      </c>
      <c r="B1" s="6"/>
      <c r="C1" s="6"/>
      <c r="D1" s="6"/>
      <c r="E1" s="6"/>
      <c r="F1" s="6"/>
      <c r="G1" s="7"/>
      <c r="J1" s="2" t="s">
        <v>64</v>
      </c>
      <c r="K1" t="s">
        <v>65</v>
      </c>
    </row>
    <row r="3" spans="1:13">
      <c r="A3" t="s">
        <v>8</v>
      </c>
      <c r="B3" t="s">
        <v>1</v>
      </c>
      <c r="C3" t="s">
        <v>66</v>
      </c>
      <c r="D3" t="s">
        <v>64</v>
      </c>
      <c r="E3" t="s">
        <v>9</v>
      </c>
      <c r="F3" t="s">
        <v>10</v>
      </c>
      <c r="G3" t="s">
        <v>67</v>
      </c>
      <c r="J3" s="2" t="s">
        <v>66</v>
      </c>
      <c r="K3" s="2" t="s">
        <v>1</v>
      </c>
      <c r="L3" t="s">
        <v>68</v>
      </c>
      <c r="M3" t="s">
        <v>69</v>
      </c>
    </row>
    <row r="4" spans="1:13">
      <c r="A4">
        <v>1001</v>
      </c>
      <c r="B4" t="s">
        <v>16</v>
      </c>
      <c r="C4" t="s">
        <v>70</v>
      </c>
      <c r="D4" t="s">
        <v>71</v>
      </c>
      <c r="E4">
        <v>3</v>
      </c>
      <c r="F4">
        <v>55000</v>
      </c>
      <c r="G4">
        <v>165000</v>
      </c>
      <c r="J4" t="s">
        <v>72</v>
      </c>
      <c r="K4" t="s">
        <v>73</v>
      </c>
      <c r="L4" s="3">
        <v>25000</v>
      </c>
      <c r="M4" s="3">
        <v>10</v>
      </c>
    </row>
    <row r="5" spans="1:13">
      <c r="A5">
        <v>1002</v>
      </c>
      <c r="B5" t="s">
        <v>74</v>
      </c>
      <c r="C5" t="s">
        <v>75</v>
      </c>
      <c r="D5" t="s">
        <v>76</v>
      </c>
      <c r="E5">
        <v>5</v>
      </c>
      <c r="F5">
        <v>22000</v>
      </c>
      <c r="G5">
        <v>110000</v>
      </c>
      <c r="K5" t="s">
        <v>74</v>
      </c>
      <c r="L5" s="3">
        <v>308000</v>
      </c>
      <c r="M5" s="3">
        <v>14</v>
      </c>
    </row>
    <row r="6" spans="1:13">
      <c r="A6">
        <v>1003</v>
      </c>
      <c r="B6" t="s">
        <v>77</v>
      </c>
      <c r="C6" t="s">
        <v>72</v>
      </c>
      <c r="D6" t="s">
        <v>78</v>
      </c>
      <c r="E6">
        <v>4</v>
      </c>
      <c r="F6">
        <v>18000</v>
      </c>
      <c r="G6">
        <v>72000</v>
      </c>
      <c r="J6" t="s">
        <v>79</v>
      </c>
      <c r="L6" s="3">
        <v>333000</v>
      </c>
      <c r="M6" s="3">
        <v>24</v>
      </c>
    </row>
    <row r="7" spans="1:13">
      <c r="A7">
        <v>1004</v>
      </c>
      <c r="B7" t="s">
        <v>73</v>
      </c>
      <c r="C7" t="s">
        <v>80</v>
      </c>
      <c r="D7" t="s">
        <v>65</v>
      </c>
      <c r="E7">
        <v>8</v>
      </c>
      <c r="F7">
        <v>2500</v>
      </c>
      <c r="G7">
        <v>20000</v>
      </c>
      <c r="J7" t="s">
        <v>70</v>
      </c>
      <c r="K7" t="s">
        <v>16</v>
      </c>
      <c r="L7" s="3">
        <v>275000</v>
      </c>
      <c r="M7" s="3">
        <v>5</v>
      </c>
    </row>
    <row r="8" spans="1:13">
      <c r="A8">
        <v>1005</v>
      </c>
      <c r="B8" t="s">
        <v>16</v>
      </c>
      <c r="C8" t="s">
        <v>75</v>
      </c>
      <c r="D8" t="s">
        <v>71</v>
      </c>
      <c r="E8">
        <v>2</v>
      </c>
      <c r="F8">
        <v>55000</v>
      </c>
      <c r="G8">
        <v>110000</v>
      </c>
      <c r="K8" t="s">
        <v>77</v>
      </c>
      <c r="L8" s="3">
        <v>216000</v>
      </c>
      <c r="M8" s="3">
        <v>12</v>
      </c>
    </row>
    <row r="9" spans="1:13">
      <c r="A9">
        <v>1006</v>
      </c>
      <c r="B9" t="s">
        <v>74</v>
      </c>
      <c r="C9" t="s">
        <v>70</v>
      </c>
      <c r="D9" t="s">
        <v>78</v>
      </c>
      <c r="E9">
        <v>7</v>
      </c>
      <c r="F9">
        <v>22000</v>
      </c>
      <c r="G9">
        <v>154000</v>
      </c>
      <c r="J9" t="s">
        <v>81</v>
      </c>
      <c r="L9" s="3">
        <v>491000</v>
      </c>
      <c r="M9" s="3">
        <v>17</v>
      </c>
    </row>
    <row r="10" spans="1:13">
      <c r="A10">
        <v>1007</v>
      </c>
      <c r="B10" t="s">
        <v>77</v>
      </c>
      <c r="C10" t="s">
        <v>80</v>
      </c>
      <c r="D10" t="s">
        <v>76</v>
      </c>
      <c r="E10">
        <v>6</v>
      </c>
      <c r="F10">
        <v>18000</v>
      </c>
      <c r="G10">
        <v>108000</v>
      </c>
      <c r="J10" t="s">
        <v>75</v>
      </c>
      <c r="K10" t="s">
        <v>73</v>
      </c>
      <c r="L10" s="3">
        <v>35000</v>
      </c>
      <c r="M10" s="3">
        <v>14</v>
      </c>
    </row>
    <row r="11" spans="1:13">
      <c r="A11">
        <v>1008</v>
      </c>
      <c r="B11" t="s">
        <v>73</v>
      </c>
      <c r="C11" t="s">
        <v>72</v>
      </c>
      <c r="D11" t="s">
        <v>65</v>
      </c>
      <c r="E11">
        <v>10</v>
      </c>
      <c r="F11">
        <v>2500</v>
      </c>
      <c r="G11">
        <v>25000</v>
      </c>
      <c r="K11" t="s">
        <v>16</v>
      </c>
      <c r="L11" s="3">
        <v>110000</v>
      </c>
      <c r="M11" s="3">
        <v>2</v>
      </c>
    </row>
    <row r="12" spans="1:13">
      <c r="A12">
        <v>1009</v>
      </c>
      <c r="B12" t="s">
        <v>16</v>
      </c>
      <c r="C12" t="s">
        <v>72</v>
      </c>
      <c r="D12" t="s">
        <v>78</v>
      </c>
      <c r="E12">
        <v>4</v>
      </c>
      <c r="F12">
        <v>55000</v>
      </c>
      <c r="G12">
        <v>220000</v>
      </c>
      <c r="K12" t="s">
        <v>74</v>
      </c>
      <c r="L12" s="3">
        <v>132000</v>
      </c>
      <c r="M12" s="3">
        <v>6</v>
      </c>
    </row>
    <row r="13" spans="1:13">
      <c r="A13">
        <v>1010</v>
      </c>
      <c r="B13" t="s">
        <v>74</v>
      </c>
      <c r="C13" t="s">
        <v>80</v>
      </c>
      <c r="D13" t="s">
        <v>71</v>
      </c>
      <c r="E13">
        <v>3</v>
      </c>
      <c r="F13">
        <v>22000</v>
      </c>
      <c r="G13">
        <v>66000</v>
      </c>
      <c r="J13" t="s">
        <v>82</v>
      </c>
      <c r="L13" s="3">
        <v>277000</v>
      </c>
      <c r="M13" s="3">
        <v>22</v>
      </c>
    </row>
    <row r="14" spans="1:13">
      <c r="A14">
        <v>1011</v>
      </c>
      <c r="B14" t="s">
        <v>77</v>
      </c>
      <c r="C14" t="s">
        <v>70</v>
      </c>
      <c r="D14" t="s">
        <v>65</v>
      </c>
      <c r="E14">
        <v>5</v>
      </c>
      <c r="F14">
        <v>18000</v>
      </c>
      <c r="G14">
        <v>90000</v>
      </c>
      <c r="J14" t="s">
        <v>80</v>
      </c>
      <c r="K14" t="s">
        <v>73</v>
      </c>
      <c r="L14" s="3">
        <v>20000</v>
      </c>
      <c r="M14" s="3">
        <v>8</v>
      </c>
    </row>
    <row r="15" spans="1:13">
      <c r="A15">
        <v>1012</v>
      </c>
      <c r="B15" t="s">
        <v>73</v>
      </c>
      <c r="C15" t="s">
        <v>75</v>
      </c>
      <c r="D15" t="s">
        <v>76</v>
      </c>
      <c r="E15">
        <v>12</v>
      </c>
      <c r="F15">
        <v>2500</v>
      </c>
      <c r="G15">
        <v>30000</v>
      </c>
      <c r="K15" t="s">
        <v>16</v>
      </c>
      <c r="L15" s="3">
        <v>220000</v>
      </c>
      <c r="M15" s="3">
        <v>4</v>
      </c>
    </row>
    <row r="16" spans="1:13">
      <c r="A16">
        <v>1013</v>
      </c>
      <c r="B16" t="s">
        <v>16</v>
      </c>
      <c r="C16" t="s">
        <v>80</v>
      </c>
      <c r="D16" t="s">
        <v>76</v>
      </c>
      <c r="E16">
        <v>2</v>
      </c>
      <c r="F16">
        <v>55000</v>
      </c>
      <c r="G16">
        <v>110000</v>
      </c>
      <c r="K16" t="s">
        <v>77</v>
      </c>
      <c r="L16" s="3">
        <v>72000</v>
      </c>
      <c r="M16" s="3">
        <v>4</v>
      </c>
    </row>
    <row r="17" spans="1:13">
      <c r="A17">
        <v>1014</v>
      </c>
      <c r="B17" t="s">
        <v>74</v>
      </c>
      <c r="C17" t="s">
        <v>72</v>
      </c>
      <c r="D17" t="s">
        <v>65</v>
      </c>
      <c r="E17">
        <v>6</v>
      </c>
      <c r="F17">
        <v>22000</v>
      </c>
      <c r="G17">
        <v>132000</v>
      </c>
      <c r="J17" t="s">
        <v>83</v>
      </c>
      <c r="L17" s="3">
        <v>312000</v>
      </c>
      <c r="M17" s="3">
        <v>16</v>
      </c>
    </row>
    <row r="18" spans="1:13">
      <c r="A18">
        <v>1015</v>
      </c>
      <c r="B18" t="s">
        <v>77</v>
      </c>
      <c r="C18" t="s">
        <v>75</v>
      </c>
      <c r="D18" t="s">
        <v>71</v>
      </c>
      <c r="E18">
        <v>7</v>
      </c>
      <c r="F18">
        <v>18000</v>
      </c>
      <c r="G18">
        <v>126000</v>
      </c>
      <c r="J18" t="s">
        <v>84</v>
      </c>
      <c r="L18" s="3">
        <v>1413000</v>
      </c>
      <c r="M18" s="3">
        <v>79</v>
      </c>
    </row>
    <row r="19" spans="1:13">
      <c r="A19">
        <v>1016</v>
      </c>
      <c r="B19" t="s">
        <v>73</v>
      </c>
      <c r="C19" t="s">
        <v>70</v>
      </c>
      <c r="D19" t="s">
        <v>78</v>
      </c>
      <c r="E19">
        <v>9</v>
      </c>
      <c r="F19">
        <v>2500</v>
      </c>
      <c r="G19">
        <v>22500</v>
      </c>
    </row>
    <row r="20" spans="1:13">
      <c r="A20">
        <v>1017</v>
      </c>
      <c r="B20" t="s">
        <v>16</v>
      </c>
      <c r="C20" t="s">
        <v>70</v>
      </c>
      <c r="D20" t="s">
        <v>65</v>
      </c>
      <c r="E20">
        <v>5</v>
      </c>
      <c r="F20">
        <v>55000</v>
      </c>
      <c r="G20">
        <v>275000</v>
      </c>
    </row>
    <row r="21" spans="1:13">
      <c r="A21">
        <v>1018</v>
      </c>
      <c r="B21" t="s">
        <v>74</v>
      </c>
      <c r="C21" t="s">
        <v>75</v>
      </c>
      <c r="D21" t="s">
        <v>78</v>
      </c>
      <c r="E21">
        <v>4</v>
      </c>
      <c r="F21">
        <v>22000</v>
      </c>
      <c r="G21">
        <v>88000</v>
      </c>
    </row>
    <row r="22" spans="1:13">
      <c r="A22">
        <v>1019</v>
      </c>
      <c r="B22" t="s">
        <v>77</v>
      </c>
      <c r="C22" t="s">
        <v>72</v>
      </c>
      <c r="D22" t="s">
        <v>71</v>
      </c>
      <c r="E22">
        <v>8</v>
      </c>
      <c r="F22">
        <v>18000</v>
      </c>
      <c r="G22">
        <v>144000</v>
      </c>
    </row>
    <row r="23" spans="1:13">
      <c r="A23">
        <v>1020</v>
      </c>
      <c r="B23" t="s">
        <v>73</v>
      </c>
      <c r="C23" t="s">
        <v>80</v>
      </c>
      <c r="D23" t="s">
        <v>76</v>
      </c>
      <c r="E23">
        <v>15</v>
      </c>
      <c r="F23">
        <v>2500</v>
      </c>
      <c r="G23">
        <v>37500</v>
      </c>
    </row>
    <row r="24" spans="1:13">
      <c r="A24">
        <v>1021</v>
      </c>
      <c r="B24" t="s">
        <v>16</v>
      </c>
      <c r="C24" t="s">
        <v>75</v>
      </c>
      <c r="D24" t="s">
        <v>78</v>
      </c>
      <c r="E24">
        <v>3</v>
      </c>
      <c r="F24">
        <v>55000</v>
      </c>
      <c r="G24">
        <v>165000</v>
      </c>
    </row>
    <row r="25" spans="1:13">
      <c r="A25">
        <v>1022</v>
      </c>
      <c r="B25" t="s">
        <v>74</v>
      </c>
      <c r="C25" t="s">
        <v>70</v>
      </c>
      <c r="D25" t="s">
        <v>76</v>
      </c>
      <c r="E25">
        <v>8</v>
      </c>
      <c r="F25">
        <v>22000</v>
      </c>
      <c r="G25">
        <v>176000</v>
      </c>
    </row>
    <row r="26" spans="1:13">
      <c r="A26">
        <v>1023</v>
      </c>
      <c r="B26" t="s">
        <v>77</v>
      </c>
      <c r="C26" t="s">
        <v>80</v>
      </c>
      <c r="D26" t="s">
        <v>65</v>
      </c>
      <c r="E26">
        <v>4</v>
      </c>
      <c r="F26">
        <v>18000</v>
      </c>
      <c r="G26">
        <v>72000</v>
      </c>
    </row>
    <row r="27" spans="1:13">
      <c r="A27">
        <v>1024</v>
      </c>
      <c r="B27" t="s">
        <v>73</v>
      </c>
      <c r="C27" t="s">
        <v>72</v>
      </c>
      <c r="D27" t="s">
        <v>71</v>
      </c>
      <c r="E27">
        <v>11</v>
      </c>
      <c r="F27">
        <v>2500</v>
      </c>
      <c r="G27">
        <v>27500</v>
      </c>
    </row>
    <row r="28" spans="1:13">
      <c r="A28">
        <v>1025</v>
      </c>
      <c r="B28" t="s">
        <v>16</v>
      </c>
      <c r="C28" t="s">
        <v>72</v>
      </c>
      <c r="D28" t="s">
        <v>76</v>
      </c>
      <c r="E28">
        <v>2</v>
      </c>
      <c r="F28">
        <v>55000</v>
      </c>
      <c r="G28">
        <v>110000</v>
      </c>
    </row>
    <row r="29" spans="1:13">
      <c r="A29">
        <v>1026</v>
      </c>
      <c r="B29" t="s">
        <v>74</v>
      </c>
      <c r="C29" t="s">
        <v>80</v>
      </c>
      <c r="D29" t="s">
        <v>78</v>
      </c>
      <c r="E29">
        <v>5</v>
      </c>
      <c r="F29">
        <v>22000</v>
      </c>
      <c r="G29">
        <v>110000</v>
      </c>
    </row>
    <row r="30" spans="1:13">
      <c r="A30">
        <v>1027</v>
      </c>
      <c r="B30" t="s">
        <v>77</v>
      </c>
      <c r="C30" t="s">
        <v>70</v>
      </c>
      <c r="D30" t="s">
        <v>71</v>
      </c>
      <c r="E30">
        <v>6</v>
      </c>
      <c r="F30">
        <v>18000</v>
      </c>
      <c r="G30">
        <v>108000</v>
      </c>
    </row>
    <row r="31" spans="1:13">
      <c r="A31">
        <v>1028</v>
      </c>
      <c r="B31" t="s">
        <v>73</v>
      </c>
      <c r="C31" t="s">
        <v>75</v>
      </c>
      <c r="D31" t="s">
        <v>65</v>
      </c>
      <c r="E31">
        <v>14</v>
      </c>
      <c r="F31">
        <v>2500</v>
      </c>
      <c r="G31">
        <v>35000</v>
      </c>
    </row>
    <row r="32" spans="1:13">
      <c r="A32">
        <v>1029</v>
      </c>
      <c r="B32" t="s">
        <v>16</v>
      </c>
      <c r="C32" t="s">
        <v>80</v>
      </c>
      <c r="D32" t="s">
        <v>65</v>
      </c>
      <c r="E32">
        <v>4</v>
      </c>
      <c r="F32">
        <v>55000</v>
      </c>
      <c r="G32">
        <v>220000</v>
      </c>
    </row>
    <row r="33" spans="1:7">
      <c r="A33">
        <v>1030</v>
      </c>
      <c r="B33" t="s">
        <v>74</v>
      </c>
      <c r="C33" t="s">
        <v>72</v>
      </c>
      <c r="D33" t="s">
        <v>71</v>
      </c>
      <c r="E33">
        <v>7</v>
      </c>
      <c r="F33">
        <v>22000</v>
      </c>
      <c r="G33">
        <v>154000</v>
      </c>
    </row>
    <row r="34" spans="1:7">
      <c r="A34">
        <v>1031</v>
      </c>
      <c r="B34" t="s">
        <v>77</v>
      </c>
      <c r="C34" t="s">
        <v>75</v>
      </c>
      <c r="D34" t="s">
        <v>76</v>
      </c>
      <c r="E34">
        <v>5</v>
      </c>
      <c r="F34">
        <v>18000</v>
      </c>
      <c r="G34">
        <v>90000</v>
      </c>
    </row>
    <row r="35" spans="1:7">
      <c r="A35">
        <v>1032</v>
      </c>
      <c r="B35" t="s">
        <v>73</v>
      </c>
      <c r="C35" t="s">
        <v>70</v>
      </c>
      <c r="D35" t="s">
        <v>78</v>
      </c>
      <c r="E35">
        <v>13</v>
      </c>
      <c r="F35">
        <v>2500</v>
      </c>
      <c r="G35">
        <v>32500</v>
      </c>
    </row>
    <row r="36" spans="1:7">
      <c r="A36">
        <v>1033</v>
      </c>
      <c r="B36" t="s">
        <v>16</v>
      </c>
      <c r="C36" t="s">
        <v>70</v>
      </c>
      <c r="D36" t="s">
        <v>76</v>
      </c>
      <c r="E36">
        <v>3</v>
      </c>
      <c r="F36">
        <v>55000</v>
      </c>
      <c r="G36">
        <v>165000</v>
      </c>
    </row>
    <row r="37" spans="1:7">
      <c r="A37">
        <v>1034</v>
      </c>
      <c r="B37" t="s">
        <v>74</v>
      </c>
      <c r="C37" t="s">
        <v>75</v>
      </c>
      <c r="D37" t="s">
        <v>65</v>
      </c>
      <c r="E37">
        <v>6</v>
      </c>
      <c r="F37">
        <v>22000</v>
      </c>
      <c r="G37">
        <v>132000</v>
      </c>
    </row>
    <row r="38" spans="1:7">
      <c r="A38">
        <v>1035</v>
      </c>
      <c r="B38" t="s">
        <v>77</v>
      </c>
      <c r="C38" t="s">
        <v>72</v>
      </c>
      <c r="D38" t="s">
        <v>78</v>
      </c>
      <c r="E38">
        <v>9</v>
      </c>
      <c r="F38">
        <v>18000</v>
      </c>
      <c r="G38">
        <v>162000</v>
      </c>
    </row>
    <row r="39" spans="1:7">
      <c r="A39">
        <v>1036</v>
      </c>
      <c r="B39" t="s">
        <v>73</v>
      </c>
      <c r="C39" t="s">
        <v>80</v>
      </c>
      <c r="D39" t="s">
        <v>71</v>
      </c>
      <c r="E39">
        <v>16</v>
      </c>
      <c r="F39">
        <v>2500</v>
      </c>
      <c r="G39">
        <v>40000</v>
      </c>
    </row>
    <row r="40" spans="1:7">
      <c r="A40">
        <v>1037</v>
      </c>
      <c r="B40" t="s">
        <v>16</v>
      </c>
      <c r="C40" t="s">
        <v>75</v>
      </c>
      <c r="D40" t="s">
        <v>65</v>
      </c>
      <c r="E40">
        <v>2</v>
      </c>
      <c r="F40">
        <v>55000</v>
      </c>
      <c r="G40">
        <v>110000</v>
      </c>
    </row>
    <row r="41" spans="1:7">
      <c r="A41">
        <v>1038</v>
      </c>
      <c r="B41" t="s">
        <v>74</v>
      </c>
      <c r="C41" t="s">
        <v>70</v>
      </c>
      <c r="D41" t="s">
        <v>71</v>
      </c>
      <c r="E41">
        <v>9</v>
      </c>
      <c r="F41">
        <v>22000</v>
      </c>
      <c r="G41">
        <v>198000</v>
      </c>
    </row>
    <row r="42" spans="1:7">
      <c r="A42">
        <v>1039</v>
      </c>
      <c r="B42" t="s">
        <v>77</v>
      </c>
      <c r="C42" t="s">
        <v>80</v>
      </c>
      <c r="D42" t="s">
        <v>78</v>
      </c>
      <c r="E42">
        <v>6</v>
      </c>
      <c r="F42">
        <v>18000</v>
      </c>
      <c r="G42">
        <v>108000</v>
      </c>
    </row>
    <row r="43" spans="1:7">
      <c r="A43">
        <v>1040</v>
      </c>
      <c r="B43" t="s">
        <v>73</v>
      </c>
      <c r="C43" t="s">
        <v>72</v>
      </c>
      <c r="D43" t="s">
        <v>76</v>
      </c>
      <c r="E43">
        <v>12</v>
      </c>
      <c r="F43">
        <v>2500</v>
      </c>
      <c r="G43">
        <v>30000</v>
      </c>
    </row>
    <row r="44" spans="1:7">
      <c r="A44">
        <v>1041</v>
      </c>
      <c r="B44" t="s">
        <v>16</v>
      </c>
      <c r="C44" t="s">
        <v>72</v>
      </c>
      <c r="D44" t="s">
        <v>71</v>
      </c>
      <c r="E44">
        <v>5</v>
      </c>
      <c r="F44">
        <v>55000</v>
      </c>
      <c r="G44">
        <v>275000</v>
      </c>
    </row>
    <row r="45" spans="1:7">
      <c r="A45">
        <v>1042</v>
      </c>
      <c r="B45" t="s">
        <v>74</v>
      </c>
      <c r="C45" t="s">
        <v>80</v>
      </c>
      <c r="D45" t="s">
        <v>76</v>
      </c>
      <c r="E45">
        <v>4</v>
      </c>
      <c r="F45">
        <v>22000</v>
      </c>
      <c r="G45">
        <v>88000</v>
      </c>
    </row>
    <row r="46" spans="1:7">
      <c r="A46">
        <v>1043</v>
      </c>
      <c r="B46" t="s">
        <v>77</v>
      </c>
      <c r="C46" t="s">
        <v>70</v>
      </c>
      <c r="D46" t="s">
        <v>65</v>
      </c>
      <c r="E46">
        <v>7</v>
      </c>
      <c r="F46">
        <v>18000</v>
      </c>
      <c r="G46">
        <v>126000</v>
      </c>
    </row>
    <row r="47" spans="1:7">
      <c r="A47">
        <v>1044</v>
      </c>
      <c r="B47" t="s">
        <v>73</v>
      </c>
      <c r="C47" t="s">
        <v>75</v>
      </c>
      <c r="D47" t="s">
        <v>78</v>
      </c>
      <c r="E47">
        <v>18</v>
      </c>
      <c r="F47">
        <v>2500</v>
      </c>
      <c r="G47">
        <v>45000</v>
      </c>
    </row>
    <row r="48" spans="1:7">
      <c r="A48">
        <v>1045</v>
      </c>
      <c r="B48" t="s">
        <v>16</v>
      </c>
      <c r="C48" t="s">
        <v>80</v>
      </c>
      <c r="D48" t="s">
        <v>78</v>
      </c>
      <c r="E48">
        <v>3</v>
      </c>
      <c r="F48">
        <v>55000</v>
      </c>
      <c r="G48">
        <v>165000</v>
      </c>
    </row>
    <row r="49" spans="1:7">
      <c r="A49">
        <v>1046</v>
      </c>
      <c r="B49" t="s">
        <v>74</v>
      </c>
      <c r="C49" t="s">
        <v>72</v>
      </c>
      <c r="D49" t="s">
        <v>65</v>
      </c>
      <c r="E49">
        <v>8</v>
      </c>
      <c r="F49">
        <v>22000</v>
      </c>
      <c r="G49">
        <v>176000</v>
      </c>
    </row>
    <row r="50" spans="1:7">
      <c r="A50">
        <v>1047</v>
      </c>
      <c r="B50" t="s">
        <v>77</v>
      </c>
      <c r="C50" t="s">
        <v>75</v>
      </c>
      <c r="D50" t="s">
        <v>71</v>
      </c>
      <c r="E50">
        <v>6</v>
      </c>
      <c r="F50">
        <v>18000</v>
      </c>
      <c r="G50">
        <v>108000</v>
      </c>
    </row>
    <row r="51" spans="1:7">
      <c r="A51">
        <v>1048</v>
      </c>
      <c r="B51" t="s">
        <v>73</v>
      </c>
      <c r="C51" t="s">
        <v>70</v>
      </c>
      <c r="D51" t="s">
        <v>76</v>
      </c>
      <c r="E51">
        <v>10</v>
      </c>
      <c r="F51">
        <v>2500</v>
      </c>
      <c r="G51">
        <v>25000</v>
      </c>
    </row>
    <row r="52" spans="1:7">
      <c r="A52">
        <v>1049</v>
      </c>
      <c r="B52" t="s">
        <v>16</v>
      </c>
      <c r="C52" t="s">
        <v>70</v>
      </c>
      <c r="D52" t="s">
        <v>78</v>
      </c>
      <c r="E52">
        <v>4</v>
      </c>
      <c r="F52">
        <v>55000</v>
      </c>
      <c r="G52">
        <v>220000</v>
      </c>
    </row>
    <row r="53" spans="1:7">
      <c r="A53">
        <v>1050</v>
      </c>
      <c r="B53" t="s">
        <v>74</v>
      </c>
      <c r="C53" t="s">
        <v>75</v>
      </c>
      <c r="D53" t="s">
        <v>71</v>
      </c>
      <c r="E53">
        <v>7</v>
      </c>
      <c r="F53">
        <v>22000</v>
      </c>
      <c r="G53">
        <v>154000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46FB-7B1E-4CC5-A042-DCC3A91F6415}">
  <dimension ref="A1:N53"/>
  <sheetViews>
    <sheetView workbookViewId="0">
      <selection sqref="A1:G1"/>
    </sheetView>
  </sheetViews>
  <sheetFormatPr defaultRowHeight="15"/>
  <cols>
    <col min="13" max="13" width="11.7109375" bestFit="1" customWidth="1"/>
    <col min="14" max="14" width="15.85546875" bestFit="1" customWidth="1"/>
  </cols>
  <sheetData>
    <row r="1" spans="1:14" ht="18.75">
      <c r="A1" s="5" t="s">
        <v>85</v>
      </c>
      <c r="B1" s="6"/>
      <c r="C1" s="6"/>
      <c r="D1" s="6"/>
      <c r="E1" s="6"/>
      <c r="F1" s="6"/>
      <c r="G1" s="7"/>
    </row>
    <row r="2" spans="1:14">
      <c r="M2" s="2" t="s">
        <v>1</v>
      </c>
      <c r="N2" t="s">
        <v>69</v>
      </c>
    </row>
    <row r="3" spans="1:14">
      <c r="A3" s="1" t="s">
        <v>8</v>
      </c>
      <c r="B3" s="1" t="s">
        <v>1</v>
      </c>
      <c r="C3" s="1" t="s">
        <v>9</v>
      </c>
      <c r="D3" s="1" t="s">
        <v>10</v>
      </c>
      <c r="H3" s="1" t="s">
        <v>1</v>
      </c>
      <c r="I3" s="1" t="s">
        <v>2</v>
      </c>
      <c r="K3" s="1"/>
      <c r="M3" t="s">
        <v>5</v>
      </c>
      <c r="N3" s="3">
        <v>25</v>
      </c>
    </row>
    <row r="4" spans="1:14">
      <c r="A4" t="s">
        <v>11</v>
      </c>
      <c r="B4" t="s">
        <v>3</v>
      </c>
      <c r="C4">
        <v>2</v>
      </c>
      <c r="D4">
        <f>VLOOKUP(B4,$H$4:$I$8,2,FALSE)*C4</f>
        <v>1000</v>
      </c>
      <c r="H4" t="s">
        <v>3</v>
      </c>
      <c r="I4">
        <v>500</v>
      </c>
      <c r="M4" t="s">
        <v>4</v>
      </c>
      <c r="N4" s="3">
        <v>26</v>
      </c>
    </row>
    <row r="5" spans="1:14">
      <c r="A5" t="s">
        <v>12</v>
      </c>
      <c r="B5" t="s">
        <v>4</v>
      </c>
      <c r="C5">
        <v>1</v>
      </c>
      <c r="D5">
        <f t="shared" ref="D5:D53" si="0">VLOOKUP(B5,$H$4:$I$8,2,FALSE)*C5</f>
        <v>800</v>
      </c>
      <c r="H5" t="s">
        <v>4</v>
      </c>
      <c r="I5">
        <v>800</v>
      </c>
      <c r="M5" t="s">
        <v>16</v>
      </c>
      <c r="N5" s="3">
        <v>17</v>
      </c>
    </row>
    <row r="6" spans="1:14">
      <c r="A6" t="s">
        <v>13</v>
      </c>
      <c r="B6" t="s">
        <v>6</v>
      </c>
      <c r="C6">
        <v>3</v>
      </c>
      <c r="D6">
        <f t="shared" si="0"/>
        <v>54000</v>
      </c>
      <c r="H6" t="s">
        <v>6</v>
      </c>
      <c r="I6">
        <v>18000</v>
      </c>
      <c r="M6" t="s">
        <v>6</v>
      </c>
      <c r="N6" s="3">
        <v>20</v>
      </c>
    </row>
    <row r="7" spans="1:14">
      <c r="A7" t="s">
        <v>14</v>
      </c>
      <c r="B7" t="s">
        <v>5</v>
      </c>
      <c r="C7">
        <v>2</v>
      </c>
      <c r="D7">
        <f t="shared" si="0"/>
        <v>3000</v>
      </c>
      <c r="H7" t="s">
        <v>5</v>
      </c>
      <c r="I7">
        <v>1500</v>
      </c>
      <c r="M7" t="s">
        <v>3</v>
      </c>
      <c r="N7" s="3">
        <v>33</v>
      </c>
    </row>
    <row r="8" spans="1:14">
      <c r="A8" t="s">
        <v>15</v>
      </c>
      <c r="B8" t="s">
        <v>16</v>
      </c>
      <c r="C8">
        <v>1</v>
      </c>
      <c r="D8">
        <f t="shared" si="0"/>
        <v>65000</v>
      </c>
      <c r="H8" t="s">
        <v>16</v>
      </c>
      <c r="I8">
        <v>65000</v>
      </c>
      <c r="M8" t="s">
        <v>84</v>
      </c>
      <c r="N8" s="3">
        <v>121</v>
      </c>
    </row>
    <row r="9" spans="1:14">
      <c r="A9" t="s">
        <v>17</v>
      </c>
      <c r="B9" t="s">
        <v>3</v>
      </c>
      <c r="C9">
        <v>5</v>
      </c>
      <c r="D9">
        <f t="shared" si="0"/>
        <v>2500</v>
      </c>
    </row>
    <row r="10" spans="1:14">
      <c r="A10" t="s">
        <v>18</v>
      </c>
      <c r="B10" t="s">
        <v>4</v>
      </c>
      <c r="C10">
        <v>2</v>
      </c>
      <c r="D10">
        <f t="shared" si="0"/>
        <v>1600</v>
      </c>
    </row>
    <row r="11" spans="1:14">
      <c r="A11" t="s">
        <v>19</v>
      </c>
      <c r="B11" t="s">
        <v>6</v>
      </c>
      <c r="C11">
        <v>1</v>
      </c>
      <c r="D11">
        <f t="shared" si="0"/>
        <v>18000</v>
      </c>
    </row>
    <row r="12" spans="1:14">
      <c r="A12" t="s">
        <v>20</v>
      </c>
      <c r="B12" t="s">
        <v>5</v>
      </c>
      <c r="C12">
        <v>4</v>
      </c>
      <c r="D12">
        <f t="shared" si="0"/>
        <v>6000</v>
      </c>
    </row>
    <row r="13" spans="1:14">
      <c r="A13" t="s">
        <v>21</v>
      </c>
      <c r="B13" t="s">
        <v>16</v>
      </c>
      <c r="C13">
        <v>2</v>
      </c>
      <c r="D13">
        <f t="shared" si="0"/>
        <v>130000</v>
      </c>
    </row>
    <row r="14" spans="1:14">
      <c r="A14" t="s">
        <v>22</v>
      </c>
      <c r="B14" t="s">
        <v>3</v>
      </c>
      <c r="C14">
        <v>3</v>
      </c>
      <c r="D14">
        <f t="shared" si="0"/>
        <v>1500</v>
      </c>
    </row>
    <row r="15" spans="1:14">
      <c r="A15" t="s">
        <v>23</v>
      </c>
      <c r="B15" t="s">
        <v>4</v>
      </c>
      <c r="C15">
        <v>4</v>
      </c>
      <c r="D15">
        <f t="shared" si="0"/>
        <v>3200</v>
      </c>
    </row>
    <row r="16" spans="1:14">
      <c r="A16" t="s">
        <v>24</v>
      </c>
      <c r="B16" t="s">
        <v>6</v>
      </c>
      <c r="C16">
        <v>2</v>
      </c>
      <c r="D16">
        <f t="shared" si="0"/>
        <v>36000</v>
      </c>
    </row>
    <row r="17" spans="1:4">
      <c r="A17" t="s">
        <v>25</v>
      </c>
      <c r="B17" t="s">
        <v>5</v>
      </c>
      <c r="C17">
        <v>1</v>
      </c>
      <c r="D17">
        <f t="shared" si="0"/>
        <v>1500</v>
      </c>
    </row>
    <row r="18" spans="1:4">
      <c r="A18" t="s">
        <v>26</v>
      </c>
      <c r="B18" t="s">
        <v>16</v>
      </c>
      <c r="C18">
        <v>1</v>
      </c>
      <c r="D18">
        <f t="shared" si="0"/>
        <v>65000</v>
      </c>
    </row>
    <row r="19" spans="1:4">
      <c r="A19" t="s">
        <v>27</v>
      </c>
      <c r="B19" t="s">
        <v>3</v>
      </c>
      <c r="C19">
        <v>6</v>
      </c>
      <c r="D19">
        <f t="shared" si="0"/>
        <v>3000</v>
      </c>
    </row>
    <row r="20" spans="1:4">
      <c r="A20" t="s">
        <v>28</v>
      </c>
      <c r="B20" t="s">
        <v>4</v>
      </c>
      <c r="C20">
        <v>3</v>
      </c>
      <c r="D20">
        <f t="shared" si="0"/>
        <v>2400</v>
      </c>
    </row>
    <row r="21" spans="1:4">
      <c r="A21" t="s">
        <v>29</v>
      </c>
      <c r="B21" t="s">
        <v>6</v>
      </c>
      <c r="C21">
        <v>1</v>
      </c>
      <c r="D21">
        <f t="shared" si="0"/>
        <v>18000</v>
      </c>
    </row>
    <row r="22" spans="1:4">
      <c r="A22" t="s">
        <v>30</v>
      </c>
      <c r="B22" t="s">
        <v>5</v>
      </c>
      <c r="C22">
        <v>2</v>
      </c>
      <c r="D22">
        <f t="shared" si="0"/>
        <v>3000</v>
      </c>
    </row>
    <row r="23" spans="1:4">
      <c r="A23" t="s">
        <v>31</v>
      </c>
      <c r="B23" t="s">
        <v>16</v>
      </c>
      <c r="C23">
        <v>3</v>
      </c>
      <c r="D23">
        <f t="shared" si="0"/>
        <v>195000</v>
      </c>
    </row>
    <row r="24" spans="1:4">
      <c r="A24" t="s">
        <v>32</v>
      </c>
      <c r="B24" t="s">
        <v>3</v>
      </c>
      <c r="C24">
        <v>1</v>
      </c>
      <c r="D24">
        <f t="shared" si="0"/>
        <v>500</v>
      </c>
    </row>
    <row r="25" spans="1:4">
      <c r="A25" t="s">
        <v>33</v>
      </c>
      <c r="B25" t="s">
        <v>4</v>
      </c>
      <c r="C25">
        <v>5</v>
      </c>
      <c r="D25">
        <f t="shared" si="0"/>
        <v>4000</v>
      </c>
    </row>
    <row r="26" spans="1:4">
      <c r="A26" t="s">
        <v>34</v>
      </c>
      <c r="B26" t="s">
        <v>6</v>
      </c>
      <c r="C26">
        <v>2</v>
      </c>
      <c r="D26">
        <f t="shared" si="0"/>
        <v>36000</v>
      </c>
    </row>
    <row r="27" spans="1:4">
      <c r="A27" t="s">
        <v>35</v>
      </c>
      <c r="B27" t="s">
        <v>5</v>
      </c>
      <c r="C27">
        <v>3</v>
      </c>
      <c r="D27">
        <f t="shared" si="0"/>
        <v>4500</v>
      </c>
    </row>
    <row r="28" spans="1:4">
      <c r="A28" t="s">
        <v>36</v>
      </c>
      <c r="B28" t="s">
        <v>16</v>
      </c>
      <c r="C28">
        <v>1</v>
      </c>
      <c r="D28">
        <f t="shared" si="0"/>
        <v>65000</v>
      </c>
    </row>
    <row r="29" spans="1:4">
      <c r="A29" t="s">
        <v>37</v>
      </c>
      <c r="B29" t="s">
        <v>3</v>
      </c>
      <c r="C29">
        <v>4</v>
      </c>
      <c r="D29">
        <f t="shared" si="0"/>
        <v>2000</v>
      </c>
    </row>
    <row r="30" spans="1:4">
      <c r="A30" t="s">
        <v>38</v>
      </c>
      <c r="B30" t="s">
        <v>4</v>
      </c>
      <c r="C30">
        <v>1</v>
      </c>
      <c r="D30">
        <f t="shared" si="0"/>
        <v>800</v>
      </c>
    </row>
    <row r="31" spans="1:4">
      <c r="A31" t="s">
        <v>39</v>
      </c>
      <c r="B31" t="s">
        <v>6</v>
      </c>
      <c r="C31">
        <v>3</v>
      </c>
      <c r="D31">
        <f t="shared" si="0"/>
        <v>54000</v>
      </c>
    </row>
    <row r="32" spans="1:4">
      <c r="A32" t="s">
        <v>40</v>
      </c>
      <c r="B32" t="s">
        <v>5</v>
      </c>
      <c r="C32">
        <v>2</v>
      </c>
      <c r="D32">
        <f t="shared" si="0"/>
        <v>3000</v>
      </c>
    </row>
    <row r="33" spans="1:4">
      <c r="A33" t="s">
        <v>41</v>
      </c>
      <c r="B33" t="s">
        <v>16</v>
      </c>
      <c r="C33">
        <v>2</v>
      </c>
      <c r="D33">
        <f t="shared" si="0"/>
        <v>130000</v>
      </c>
    </row>
    <row r="34" spans="1:4">
      <c r="A34" t="s">
        <v>42</v>
      </c>
      <c r="B34" t="s">
        <v>3</v>
      </c>
      <c r="C34">
        <v>2</v>
      </c>
      <c r="D34">
        <f t="shared" si="0"/>
        <v>1000</v>
      </c>
    </row>
    <row r="35" spans="1:4">
      <c r="A35" t="s">
        <v>43</v>
      </c>
      <c r="B35" t="s">
        <v>4</v>
      </c>
      <c r="C35">
        <v>3</v>
      </c>
      <c r="D35">
        <f t="shared" si="0"/>
        <v>2400</v>
      </c>
    </row>
    <row r="36" spans="1:4">
      <c r="A36" t="s">
        <v>44</v>
      </c>
      <c r="B36" t="s">
        <v>6</v>
      </c>
      <c r="C36">
        <v>1</v>
      </c>
      <c r="D36">
        <f t="shared" si="0"/>
        <v>18000</v>
      </c>
    </row>
    <row r="37" spans="1:4">
      <c r="A37" t="s">
        <v>45</v>
      </c>
      <c r="B37" t="s">
        <v>5</v>
      </c>
      <c r="C37">
        <v>5</v>
      </c>
      <c r="D37">
        <f t="shared" si="0"/>
        <v>7500</v>
      </c>
    </row>
    <row r="38" spans="1:4">
      <c r="A38" t="s">
        <v>46</v>
      </c>
      <c r="B38" t="s">
        <v>16</v>
      </c>
      <c r="C38">
        <v>1</v>
      </c>
      <c r="D38">
        <f t="shared" si="0"/>
        <v>65000</v>
      </c>
    </row>
    <row r="39" spans="1:4">
      <c r="A39" t="s">
        <v>47</v>
      </c>
      <c r="B39" t="s">
        <v>3</v>
      </c>
      <c r="C39">
        <v>3</v>
      </c>
      <c r="D39">
        <f t="shared" si="0"/>
        <v>1500</v>
      </c>
    </row>
    <row r="40" spans="1:4">
      <c r="A40" t="s">
        <v>48</v>
      </c>
      <c r="B40" t="s">
        <v>4</v>
      </c>
      <c r="C40">
        <v>2</v>
      </c>
      <c r="D40">
        <f t="shared" si="0"/>
        <v>1600</v>
      </c>
    </row>
    <row r="41" spans="1:4">
      <c r="A41" t="s">
        <v>49</v>
      </c>
      <c r="B41" t="s">
        <v>6</v>
      </c>
      <c r="C41">
        <v>4</v>
      </c>
      <c r="D41">
        <f t="shared" si="0"/>
        <v>72000</v>
      </c>
    </row>
    <row r="42" spans="1:4">
      <c r="A42" t="s">
        <v>50</v>
      </c>
      <c r="B42" t="s">
        <v>5</v>
      </c>
      <c r="C42">
        <v>1</v>
      </c>
      <c r="D42">
        <f t="shared" si="0"/>
        <v>1500</v>
      </c>
    </row>
    <row r="43" spans="1:4">
      <c r="A43" t="s">
        <v>51</v>
      </c>
      <c r="B43" t="s">
        <v>16</v>
      </c>
      <c r="C43">
        <v>2</v>
      </c>
      <c r="D43">
        <f t="shared" si="0"/>
        <v>130000</v>
      </c>
    </row>
    <row r="44" spans="1:4">
      <c r="A44" t="s">
        <v>52</v>
      </c>
      <c r="B44" t="s">
        <v>3</v>
      </c>
      <c r="C44">
        <v>5</v>
      </c>
      <c r="D44">
        <f t="shared" si="0"/>
        <v>2500</v>
      </c>
    </row>
    <row r="45" spans="1:4">
      <c r="A45" t="s">
        <v>53</v>
      </c>
      <c r="B45" t="s">
        <v>4</v>
      </c>
      <c r="C45">
        <v>1</v>
      </c>
      <c r="D45">
        <f t="shared" si="0"/>
        <v>800</v>
      </c>
    </row>
    <row r="46" spans="1:4">
      <c r="A46" t="s">
        <v>54</v>
      </c>
      <c r="B46" t="s">
        <v>6</v>
      </c>
      <c r="C46">
        <v>2</v>
      </c>
      <c r="D46">
        <f t="shared" si="0"/>
        <v>36000</v>
      </c>
    </row>
    <row r="47" spans="1:4">
      <c r="A47" t="s">
        <v>55</v>
      </c>
      <c r="B47" t="s">
        <v>5</v>
      </c>
      <c r="C47">
        <v>3</v>
      </c>
      <c r="D47">
        <f t="shared" si="0"/>
        <v>4500</v>
      </c>
    </row>
    <row r="48" spans="1:4">
      <c r="A48" t="s">
        <v>56</v>
      </c>
      <c r="B48" t="s">
        <v>16</v>
      </c>
      <c r="C48">
        <v>1</v>
      </c>
      <c r="D48">
        <f t="shared" si="0"/>
        <v>65000</v>
      </c>
    </row>
    <row r="49" spans="1:4">
      <c r="A49" t="s">
        <v>57</v>
      </c>
      <c r="B49" t="s">
        <v>3</v>
      </c>
      <c r="C49">
        <v>2</v>
      </c>
      <c r="D49">
        <f t="shared" si="0"/>
        <v>1000</v>
      </c>
    </row>
    <row r="50" spans="1:4">
      <c r="A50" t="s">
        <v>58</v>
      </c>
      <c r="B50" t="s">
        <v>4</v>
      </c>
      <c r="C50">
        <v>4</v>
      </c>
      <c r="D50">
        <f t="shared" si="0"/>
        <v>3200</v>
      </c>
    </row>
    <row r="51" spans="1:4">
      <c r="A51" t="s">
        <v>59</v>
      </c>
      <c r="B51" t="s">
        <v>6</v>
      </c>
      <c r="C51">
        <v>1</v>
      </c>
      <c r="D51">
        <f t="shared" si="0"/>
        <v>18000</v>
      </c>
    </row>
    <row r="52" spans="1:4">
      <c r="A52" t="s">
        <v>60</v>
      </c>
      <c r="B52" t="s">
        <v>5</v>
      </c>
      <c r="C52">
        <v>2</v>
      </c>
      <c r="D52">
        <f t="shared" si="0"/>
        <v>3000</v>
      </c>
    </row>
    <row r="53" spans="1:4">
      <c r="A53" t="s">
        <v>61</v>
      </c>
      <c r="B53" t="s">
        <v>16</v>
      </c>
      <c r="C53">
        <v>3</v>
      </c>
      <c r="D53">
        <f t="shared" si="0"/>
        <v>195000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5288B-835A-4021-8091-2C0513901F04}">
  <dimension ref="A1:L53"/>
  <sheetViews>
    <sheetView workbookViewId="0">
      <selection activeCell="A3" sqref="A3:H53"/>
    </sheetView>
  </sheetViews>
  <sheetFormatPr defaultRowHeight="15"/>
  <cols>
    <col min="10" max="10" width="12.140625" bestFit="1" customWidth="1"/>
    <col min="11" max="11" width="15.85546875" bestFit="1" customWidth="1"/>
    <col min="12" max="12" width="20.42578125" bestFit="1" customWidth="1"/>
  </cols>
  <sheetData>
    <row r="1" spans="1:12" ht="18.75">
      <c r="A1" s="5" t="s">
        <v>86</v>
      </c>
      <c r="B1" s="6"/>
      <c r="C1" s="6"/>
      <c r="D1" s="6"/>
      <c r="E1" s="6"/>
      <c r="F1" s="6"/>
      <c r="G1" s="7"/>
    </row>
    <row r="3" spans="1:12">
      <c r="A3" t="s">
        <v>8</v>
      </c>
      <c r="B3" t="s">
        <v>1</v>
      </c>
      <c r="C3" t="s">
        <v>66</v>
      </c>
      <c r="D3" t="s">
        <v>64</v>
      </c>
      <c r="E3" t="s">
        <v>9</v>
      </c>
      <c r="F3" t="s">
        <v>10</v>
      </c>
      <c r="G3" t="s">
        <v>67</v>
      </c>
      <c r="J3" s="2" t="s">
        <v>1</v>
      </c>
      <c r="K3" t="s">
        <v>69</v>
      </c>
      <c r="L3" t="s">
        <v>68</v>
      </c>
    </row>
    <row r="4" spans="1:12">
      <c r="A4">
        <v>1001</v>
      </c>
      <c r="B4" t="s">
        <v>16</v>
      </c>
      <c r="C4" t="s">
        <v>70</v>
      </c>
      <c r="D4" t="s">
        <v>71</v>
      </c>
      <c r="E4">
        <v>3</v>
      </c>
      <c r="F4">
        <v>55000</v>
      </c>
      <c r="G4">
        <v>165000</v>
      </c>
      <c r="J4" t="s">
        <v>73</v>
      </c>
      <c r="K4" s="3">
        <v>148</v>
      </c>
      <c r="L4" s="3">
        <v>370000</v>
      </c>
    </row>
    <row r="5" spans="1:12">
      <c r="A5">
        <v>1002</v>
      </c>
      <c r="B5" t="s">
        <v>74</v>
      </c>
      <c r="C5" t="s">
        <v>75</v>
      </c>
      <c r="D5" t="s">
        <v>76</v>
      </c>
      <c r="E5">
        <v>5</v>
      </c>
      <c r="F5">
        <v>22000</v>
      </c>
      <c r="G5">
        <v>110000</v>
      </c>
      <c r="J5" t="s">
        <v>16</v>
      </c>
      <c r="K5" s="3">
        <v>42</v>
      </c>
      <c r="L5" s="3">
        <v>2310000</v>
      </c>
    </row>
    <row r="6" spans="1:12">
      <c r="A6">
        <v>1003</v>
      </c>
      <c r="B6" t="s">
        <v>77</v>
      </c>
      <c r="C6" t="s">
        <v>72</v>
      </c>
      <c r="D6" t="s">
        <v>78</v>
      </c>
      <c r="E6">
        <v>4</v>
      </c>
      <c r="F6">
        <v>18000</v>
      </c>
      <c r="G6">
        <v>72000</v>
      </c>
      <c r="J6" t="s">
        <v>74</v>
      </c>
      <c r="K6" s="3">
        <v>79</v>
      </c>
      <c r="L6" s="3">
        <v>1738000</v>
      </c>
    </row>
    <row r="7" spans="1:12">
      <c r="A7">
        <v>1004</v>
      </c>
      <c r="B7" t="s">
        <v>73</v>
      </c>
      <c r="C7" t="s">
        <v>80</v>
      </c>
      <c r="D7" t="s">
        <v>65</v>
      </c>
      <c r="E7">
        <v>8</v>
      </c>
      <c r="F7">
        <v>2500</v>
      </c>
      <c r="G7">
        <v>20000</v>
      </c>
      <c r="J7" t="s">
        <v>77</v>
      </c>
      <c r="K7" s="3">
        <v>73</v>
      </c>
      <c r="L7" s="3">
        <v>1314000</v>
      </c>
    </row>
    <row r="8" spans="1:12">
      <c r="A8">
        <v>1005</v>
      </c>
      <c r="B8" t="s">
        <v>16</v>
      </c>
      <c r="C8" t="s">
        <v>75</v>
      </c>
      <c r="D8" t="s">
        <v>71</v>
      </c>
      <c r="E8">
        <v>2</v>
      </c>
      <c r="F8">
        <v>55000</v>
      </c>
      <c r="G8">
        <v>110000</v>
      </c>
      <c r="J8" t="s">
        <v>84</v>
      </c>
      <c r="K8" s="3">
        <v>342</v>
      </c>
      <c r="L8" s="3">
        <v>5732000</v>
      </c>
    </row>
    <row r="9" spans="1:12">
      <c r="A9">
        <v>1006</v>
      </c>
      <c r="B9" t="s">
        <v>74</v>
      </c>
      <c r="C9" t="s">
        <v>70</v>
      </c>
      <c r="D9" t="s">
        <v>78</v>
      </c>
      <c r="E9">
        <v>7</v>
      </c>
      <c r="F9">
        <v>22000</v>
      </c>
      <c r="G9">
        <v>154000</v>
      </c>
    </row>
    <row r="10" spans="1:12">
      <c r="A10">
        <v>1007</v>
      </c>
      <c r="B10" t="s">
        <v>77</v>
      </c>
      <c r="C10" t="s">
        <v>80</v>
      </c>
      <c r="D10" t="s">
        <v>76</v>
      </c>
      <c r="E10">
        <v>6</v>
      </c>
      <c r="F10">
        <v>18000</v>
      </c>
      <c r="G10">
        <v>108000</v>
      </c>
    </row>
    <row r="11" spans="1:12">
      <c r="A11">
        <v>1008</v>
      </c>
      <c r="B11" t="s">
        <v>73</v>
      </c>
      <c r="C11" t="s">
        <v>72</v>
      </c>
      <c r="D11" t="s">
        <v>65</v>
      </c>
      <c r="E11">
        <v>10</v>
      </c>
      <c r="F11">
        <v>2500</v>
      </c>
      <c r="G11">
        <v>25000</v>
      </c>
    </row>
    <row r="12" spans="1:12">
      <c r="A12">
        <v>1009</v>
      </c>
      <c r="B12" t="s">
        <v>16</v>
      </c>
      <c r="C12" t="s">
        <v>72</v>
      </c>
      <c r="D12" t="s">
        <v>78</v>
      </c>
      <c r="E12">
        <v>4</v>
      </c>
      <c r="F12">
        <v>55000</v>
      </c>
      <c r="G12">
        <v>220000</v>
      </c>
    </row>
    <row r="13" spans="1:12">
      <c r="A13">
        <v>1010</v>
      </c>
      <c r="B13" t="s">
        <v>74</v>
      </c>
      <c r="C13" t="s">
        <v>80</v>
      </c>
      <c r="D13" t="s">
        <v>71</v>
      </c>
      <c r="E13">
        <v>3</v>
      </c>
      <c r="F13">
        <v>22000</v>
      </c>
      <c r="G13">
        <v>66000</v>
      </c>
    </row>
    <row r="14" spans="1:12">
      <c r="A14">
        <v>1011</v>
      </c>
      <c r="B14" t="s">
        <v>77</v>
      </c>
      <c r="C14" t="s">
        <v>70</v>
      </c>
      <c r="D14" t="s">
        <v>65</v>
      </c>
      <c r="E14">
        <v>5</v>
      </c>
      <c r="F14">
        <v>18000</v>
      </c>
      <c r="G14">
        <v>90000</v>
      </c>
    </row>
    <row r="15" spans="1:12">
      <c r="A15">
        <v>1012</v>
      </c>
      <c r="B15" t="s">
        <v>73</v>
      </c>
      <c r="C15" t="s">
        <v>75</v>
      </c>
      <c r="D15" t="s">
        <v>76</v>
      </c>
      <c r="E15">
        <v>12</v>
      </c>
      <c r="F15">
        <v>2500</v>
      </c>
      <c r="G15">
        <v>30000</v>
      </c>
    </row>
    <row r="16" spans="1:12">
      <c r="A16">
        <v>1013</v>
      </c>
      <c r="B16" t="s">
        <v>16</v>
      </c>
      <c r="C16" t="s">
        <v>80</v>
      </c>
      <c r="D16" t="s">
        <v>76</v>
      </c>
      <c r="E16">
        <v>2</v>
      </c>
      <c r="F16">
        <v>55000</v>
      </c>
      <c r="G16">
        <v>110000</v>
      </c>
    </row>
    <row r="17" spans="1:7">
      <c r="A17">
        <v>1014</v>
      </c>
      <c r="B17" t="s">
        <v>74</v>
      </c>
      <c r="C17" t="s">
        <v>72</v>
      </c>
      <c r="D17" t="s">
        <v>65</v>
      </c>
      <c r="E17">
        <v>6</v>
      </c>
      <c r="F17">
        <v>22000</v>
      </c>
      <c r="G17">
        <v>132000</v>
      </c>
    </row>
    <row r="18" spans="1:7">
      <c r="A18">
        <v>1015</v>
      </c>
      <c r="B18" t="s">
        <v>77</v>
      </c>
      <c r="C18" t="s">
        <v>75</v>
      </c>
      <c r="D18" t="s">
        <v>71</v>
      </c>
      <c r="E18">
        <v>7</v>
      </c>
      <c r="F18">
        <v>18000</v>
      </c>
      <c r="G18">
        <v>126000</v>
      </c>
    </row>
    <row r="19" spans="1:7">
      <c r="A19">
        <v>1016</v>
      </c>
      <c r="B19" t="s">
        <v>73</v>
      </c>
      <c r="C19" t="s">
        <v>70</v>
      </c>
      <c r="D19" t="s">
        <v>78</v>
      </c>
      <c r="E19">
        <v>9</v>
      </c>
      <c r="F19">
        <v>2500</v>
      </c>
      <c r="G19">
        <v>22500</v>
      </c>
    </row>
    <row r="20" spans="1:7">
      <c r="A20">
        <v>1017</v>
      </c>
      <c r="B20" t="s">
        <v>16</v>
      </c>
      <c r="C20" t="s">
        <v>70</v>
      </c>
      <c r="D20" t="s">
        <v>65</v>
      </c>
      <c r="E20">
        <v>5</v>
      </c>
      <c r="F20">
        <v>55000</v>
      </c>
      <c r="G20">
        <v>275000</v>
      </c>
    </row>
    <row r="21" spans="1:7">
      <c r="A21">
        <v>1018</v>
      </c>
      <c r="B21" t="s">
        <v>74</v>
      </c>
      <c r="C21" t="s">
        <v>75</v>
      </c>
      <c r="D21" t="s">
        <v>78</v>
      </c>
      <c r="E21">
        <v>4</v>
      </c>
      <c r="F21">
        <v>22000</v>
      </c>
      <c r="G21">
        <v>88000</v>
      </c>
    </row>
    <row r="22" spans="1:7">
      <c r="A22">
        <v>1019</v>
      </c>
      <c r="B22" t="s">
        <v>77</v>
      </c>
      <c r="C22" t="s">
        <v>72</v>
      </c>
      <c r="D22" t="s">
        <v>71</v>
      </c>
      <c r="E22">
        <v>8</v>
      </c>
      <c r="F22">
        <v>18000</v>
      </c>
      <c r="G22">
        <v>144000</v>
      </c>
    </row>
    <row r="23" spans="1:7">
      <c r="A23">
        <v>1020</v>
      </c>
      <c r="B23" t="s">
        <v>73</v>
      </c>
      <c r="C23" t="s">
        <v>80</v>
      </c>
      <c r="D23" t="s">
        <v>76</v>
      </c>
      <c r="E23">
        <v>15</v>
      </c>
      <c r="F23">
        <v>2500</v>
      </c>
      <c r="G23">
        <v>37500</v>
      </c>
    </row>
    <row r="24" spans="1:7">
      <c r="A24">
        <v>1021</v>
      </c>
      <c r="B24" t="s">
        <v>16</v>
      </c>
      <c r="C24" t="s">
        <v>75</v>
      </c>
      <c r="D24" t="s">
        <v>78</v>
      </c>
      <c r="E24">
        <v>3</v>
      </c>
      <c r="F24">
        <v>55000</v>
      </c>
      <c r="G24">
        <v>165000</v>
      </c>
    </row>
    <row r="25" spans="1:7">
      <c r="A25">
        <v>1022</v>
      </c>
      <c r="B25" t="s">
        <v>74</v>
      </c>
      <c r="C25" t="s">
        <v>70</v>
      </c>
      <c r="D25" t="s">
        <v>76</v>
      </c>
      <c r="E25">
        <v>8</v>
      </c>
      <c r="F25">
        <v>22000</v>
      </c>
      <c r="G25">
        <v>176000</v>
      </c>
    </row>
    <row r="26" spans="1:7">
      <c r="A26">
        <v>1023</v>
      </c>
      <c r="B26" t="s">
        <v>77</v>
      </c>
      <c r="C26" t="s">
        <v>80</v>
      </c>
      <c r="D26" t="s">
        <v>65</v>
      </c>
      <c r="E26">
        <v>4</v>
      </c>
      <c r="F26">
        <v>18000</v>
      </c>
      <c r="G26">
        <v>72000</v>
      </c>
    </row>
    <row r="27" spans="1:7">
      <c r="A27">
        <v>1024</v>
      </c>
      <c r="B27" t="s">
        <v>73</v>
      </c>
      <c r="C27" t="s">
        <v>72</v>
      </c>
      <c r="D27" t="s">
        <v>71</v>
      </c>
      <c r="E27">
        <v>11</v>
      </c>
      <c r="F27">
        <v>2500</v>
      </c>
      <c r="G27">
        <v>27500</v>
      </c>
    </row>
    <row r="28" spans="1:7">
      <c r="A28">
        <v>1025</v>
      </c>
      <c r="B28" t="s">
        <v>16</v>
      </c>
      <c r="C28" t="s">
        <v>72</v>
      </c>
      <c r="D28" t="s">
        <v>76</v>
      </c>
      <c r="E28">
        <v>2</v>
      </c>
      <c r="F28">
        <v>55000</v>
      </c>
      <c r="G28">
        <v>110000</v>
      </c>
    </row>
    <row r="29" spans="1:7">
      <c r="A29">
        <v>1026</v>
      </c>
      <c r="B29" t="s">
        <v>74</v>
      </c>
      <c r="C29" t="s">
        <v>80</v>
      </c>
      <c r="D29" t="s">
        <v>78</v>
      </c>
      <c r="E29">
        <v>5</v>
      </c>
      <c r="F29">
        <v>22000</v>
      </c>
      <c r="G29">
        <v>110000</v>
      </c>
    </row>
    <row r="30" spans="1:7">
      <c r="A30">
        <v>1027</v>
      </c>
      <c r="B30" t="s">
        <v>77</v>
      </c>
      <c r="C30" t="s">
        <v>70</v>
      </c>
      <c r="D30" t="s">
        <v>71</v>
      </c>
      <c r="E30">
        <v>6</v>
      </c>
      <c r="F30">
        <v>18000</v>
      </c>
      <c r="G30">
        <v>108000</v>
      </c>
    </row>
    <row r="31" spans="1:7">
      <c r="A31">
        <v>1028</v>
      </c>
      <c r="B31" t="s">
        <v>73</v>
      </c>
      <c r="C31" t="s">
        <v>75</v>
      </c>
      <c r="D31" t="s">
        <v>65</v>
      </c>
      <c r="E31">
        <v>14</v>
      </c>
      <c r="F31">
        <v>2500</v>
      </c>
      <c r="G31">
        <v>35000</v>
      </c>
    </row>
    <row r="32" spans="1:7">
      <c r="A32">
        <v>1029</v>
      </c>
      <c r="B32" t="s">
        <v>16</v>
      </c>
      <c r="C32" t="s">
        <v>80</v>
      </c>
      <c r="D32" t="s">
        <v>65</v>
      </c>
      <c r="E32">
        <v>4</v>
      </c>
      <c r="F32">
        <v>55000</v>
      </c>
      <c r="G32">
        <v>220000</v>
      </c>
    </row>
    <row r="33" spans="1:7">
      <c r="A33">
        <v>1030</v>
      </c>
      <c r="B33" t="s">
        <v>74</v>
      </c>
      <c r="C33" t="s">
        <v>72</v>
      </c>
      <c r="D33" t="s">
        <v>71</v>
      </c>
      <c r="E33">
        <v>7</v>
      </c>
      <c r="F33">
        <v>22000</v>
      </c>
      <c r="G33">
        <v>154000</v>
      </c>
    </row>
    <row r="34" spans="1:7">
      <c r="A34">
        <v>1031</v>
      </c>
      <c r="B34" t="s">
        <v>77</v>
      </c>
      <c r="C34" t="s">
        <v>75</v>
      </c>
      <c r="D34" t="s">
        <v>76</v>
      </c>
      <c r="E34">
        <v>5</v>
      </c>
      <c r="F34">
        <v>18000</v>
      </c>
      <c r="G34">
        <v>90000</v>
      </c>
    </row>
    <row r="35" spans="1:7">
      <c r="A35">
        <v>1032</v>
      </c>
      <c r="B35" t="s">
        <v>73</v>
      </c>
      <c r="C35" t="s">
        <v>70</v>
      </c>
      <c r="D35" t="s">
        <v>78</v>
      </c>
      <c r="E35">
        <v>13</v>
      </c>
      <c r="F35">
        <v>2500</v>
      </c>
      <c r="G35">
        <v>32500</v>
      </c>
    </row>
    <row r="36" spans="1:7">
      <c r="A36">
        <v>1033</v>
      </c>
      <c r="B36" t="s">
        <v>16</v>
      </c>
      <c r="C36" t="s">
        <v>70</v>
      </c>
      <c r="D36" t="s">
        <v>76</v>
      </c>
      <c r="E36">
        <v>3</v>
      </c>
      <c r="F36">
        <v>55000</v>
      </c>
      <c r="G36">
        <v>165000</v>
      </c>
    </row>
    <row r="37" spans="1:7">
      <c r="A37">
        <v>1034</v>
      </c>
      <c r="B37" t="s">
        <v>74</v>
      </c>
      <c r="C37" t="s">
        <v>75</v>
      </c>
      <c r="D37" t="s">
        <v>65</v>
      </c>
      <c r="E37">
        <v>6</v>
      </c>
      <c r="F37">
        <v>22000</v>
      </c>
      <c r="G37">
        <v>132000</v>
      </c>
    </row>
    <row r="38" spans="1:7">
      <c r="A38">
        <v>1035</v>
      </c>
      <c r="B38" t="s">
        <v>77</v>
      </c>
      <c r="C38" t="s">
        <v>72</v>
      </c>
      <c r="D38" t="s">
        <v>78</v>
      </c>
      <c r="E38">
        <v>9</v>
      </c>
      <c r="F38">
        <v>18000</v>
      </c>
      <c r="G38">
        <v>162000</v>
      </c>
    </row>
    <row r="39" spans="1:7">
      <c r="A39">
        <v>1036</v>
      </c>
      <c r="B39" t="s">
        <v>73</v>
      </c>
      <c r="C39" t="s">
        <v>80</v>
      </c>
      <c r="D39" t="s">
        <v>71</v>
      </c>
      <c r="E39">
        <v>16</v>
      </c>
      <c r="F39">
        <v>2500</v>
      </c>
      <c r="G39">
        <v>40000</v>
      </c>
    </row>
    <row r="40" spans="1:7">
      <c r="A40">
        <v>1037</v>
      </c>
      <c r="B40" t="s">
        <v>16</v>
      </c>
      <c r="C40" t="s">
        <v>75</v>
      </c>
      <c r="D40" t="s">
        <v>65</v>
      </c>
      <c r="E40">
        <v>2</v>
      </c>
      <c r="F40">
        <v>55000</v>
      </c>
      <c r="G40">
        <v>110000</v>
      </c>
    </row>
    <row r="41" spans="1:7">
      <c r="A41">
        <v>1038</v>
      </c>
      <c r="B41" t="s">
        <v>74</v>
      </c>
      <c r="C41" t="s">
        <v>70</v>
      </c>
      <c r="D41" t="s">
        <v>71</v>
      </c>
      <c r="E41">
        <v>9</v>
      </c>
      <c r="F41">
        <v>22000</v>
      </c>
      <c r="G41">
        <v>198000</v>
      </c>
    </row>
    <row r="42" spans="1:7">
      <c r="A42">
        <v>1039</v>
      </c>
      <c r="B42" t="s">
        <v>77</v>
      </c>
      <c r="C42" t="s">
        <v>80</v>
      </c>
      <c r="D42" t="s">
        <v>78</v>
      </c>
      <c r="E42">
        <v>6</v>
      </c>
      <c r="F42">
        <v>18000</v>
      </c>
      <c r="G42">
        <v>108000</v>
      </c>
    </row>
    <row r="43" spans="1:7">
      <c r="A43">
        <v>1040</v>
      </c>
      <c r="B43" t="s">
        <v>73</v>
      </c>
      <c r="C43" t="s">
        <v>72</v>
      </c>
      <c r="D43" t="s">
        <v>76</v>
      </c>
      <c r="E43">
        <v>12</v>
      </c>
      <c r="F43">
        <v>2500</v>
      </c>
      <c r="G43">
        <v>30000</v>
      </c>
    </row>
    <row r="44" spans="1:7">
      <c r="A44">
        <v>1041</v>
      </c>
      <c r="B44" t="s">
        <v>16</v>
      </c>
      <c r="C44" t="s">
        <v>72</v>
      </c>
      <c r="D44" t="s">
        <v>71</v>
      </c>
      <c r="E44">
        <v>5</v>
      </c>
      <c r="F44">
        <v>55000</v>
      </c>
      <c r="G44">
        <v>275000</v>
      </c>
    </row>
    <row r="45" spans="1:7">
      <c r="A45">
        <v>1042</v>
      </c>
      <c r="B45" t="s">
        <v>74</v>
      </c>
      <c r="C45" t="s">
        <v>80</v>
      </c>
      <c r="D45" t="s">
        <v>76</v>
      </c>
      <c r="E45">
        <v>4</v>
      </c>
      <c r="F45">
        <v>22000</v>
      </c>
      <c r="G45">
        <v>88000</v>
      </c>
    </row>
    <row r="46" spans="1:7">
      <c r="A46">
        <v>1043</v>
      </c>
      <c r="B46" t="s">
        <v>77</v>
      </c>
      <c r="C46" t="s">
        <v>70</v>
      </c>
      <c r="D46" t="s">
        <v>65</v>
      </c>
      <c r="E46">
        <v>7</v>
      </c>
      <c r="F46">
        <v>18000</v>
      </c>
      <c r="G46">
        <v>126000</v>
      </c>
    </row>
    <row r="47" spans="1:7">
      <c r="A47">
        <v>1044</v>
      </c>
      <c r="B47" t="s">
        <v>73</v>
      </c>
      <c r="C47" t="s">
        <v>75</v>
      </c>
      <c r="D47" t="s">
        <v>78</v>
      </c>
      <c r="E47">
        <v>18</v>
      </c>
      <c r="F47">
        <v>2500</v>
      </c>
      <c r="G47">
        <v>45000</v>
      </c>
    </row>
    <row r="48" spans="1:7">
      <c r="A48">
        <v>1045</v>
      </c>
      <c r="B48" t="s">
        <v>16</v>
      </c>
      <c r="C48" t="s">
        <v>80</v>
      </c>
      <c r="D48" t="s">
        <v>78</v>
      </c>
      <c r="E48">
        <v>3</v>
      </c>
      <c r="F48">
        <v>55000</v>
      </c>
      <c r="G48">
        <v>165000</v>
      </c>
    </row>
    <row r="49" spans="1:7">
      <c r="A49">
        <v>1046</v>
      </c>
      <c r="B49" t="s">
        <v>74</v>
      </c>
      <c r="C49" t="s">
        <v>72</v>
      </c>
      <c r="D49" t="s">
        <v>65</v>
      </c>
      <c r="E49">
        <v>8</v>
      </c>
      <c r="F49">
        <v>22000</v>
      </c>
      <c r="G49">
        <v>176000</v>
      </c>
    </row>
    <row r="50" spans="1:7">
      <c r="A50">
        <v>1047</v>
      </c>
      <c r="B50" t="s">
        <v>77</v>
      </c>
      <c r="C50" t="s">
        <v>75</v>
      </c>
      <c r="D50" t="s">
        <v>71</v>
      </c>
      <c r="E50">
        <v>6</v>
      </c>
      <c r="F50">
        <v>18000</v>
      </c>
      <c r="G50">
        <v>108000</v>
      </c>
    </row>
    <row r="51" spans="1:7">
      <c r="A51">
        <v>1048</v>
      </c>
      <c r="B51" t="s">
        <v>73</v>
      </c>
      <c r="C51" t="s">
        <v>70</v>
      </c>
      <c r="D51" t="s">
        <v>76</v>
      </c>
      <c r="E51">
        <v>10</v>
      </c>
      <c r="F51">
        <v>2500</v>
      </c>
      <c r="G51">
        <v>25000</v>
      </c>
    </row>
    <row r="52" spans="1:7">
      <c r="A52">
        <v>1049</v>
      </c>
      <c r="B52" t="s">
        <v>16</v>
      </c>
      <c r="C52" t="s">
        <v>70</v>
      </c>
      <c r="D52" t="s">
        <v>78</v>
      </c>
      <c r="E52">
        <v>4</v>
      </c>
      <c r="F52">
        <v>55000</v>
      </c>
      <c r="G52">
        <v>220000</v>
      </c>
    </row>
    <row r="53" spans="1:7">
      <c r="A53">
        <v>1050</v>
      </c>
      <c r="B53" t="s">
        <v>74</v>
      </c>
      <c r="C53" t="s">
        <v>75</v>
      </c>
      <c r="D53" t="s">
        <v>71</v>
      </c>
      <c r="E53">
        <v>7</v>
      </c>
      <c r="F53">
        <v>22000</v>
      </c>
      <c r="G53">
        <v>154000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5602-6A25-4519-B229-162AC5DA4FDF}">
  <dimension ref="A1:L53"/>
  <sheetViews>
    <sheetView workbookViewId="0">
      <selection sqref="A1:G1"/>
    </sheetView>
  </sheetViews>
  <sheetFormatPr defaultRowHeight="15"/>
  <cols>
    <col min="9" max="9" width="15" bestFit="1" customWidth="1"/>
    <col min="10" max="10" width="15.85546875" bestFit="1" customWidth="1"/>
    <col min="11" max="11" width="23.85546875" bestFit="1" customWidth="1"/>
    <col min="12" max="12" width="20.42578125" bestFit="1" customWidth="1"/>
    <col min="13" max="23" width="6.5703125" bestFit="1" customWidth="1"/>
    <col min="24" max="35" width="7.7109375" bestFit="1" customWidth="1"/>
    <col min="36" max="36" width="20.42578125" bestFit="1" customWidth="1"/>
    <col min="37" max="46" width="6.5703125" bestFit="1" customWidth="1"/>
    <col min="47" max="61" width="7.7109375" bestFit="1" customWidth="1"/>
    <col min="62" max="62" width="21" bestFit="1" customWidth="1"/>
    <col min="63" max="63" width="25.7109375" bestFit="1" customWidth="1"/>
  </cols>
  <sheetData>
    <row r="1" spans="1:12" ht="18.75">
      <c r="A1" s="5" t="s">
        <v>87</v>
      </c>
      <c r="B1" s="6"/>
      <c r="C1" s="6"/>
      <c r="D1" s="6"/>
      <c r="E1" s="6"/>
      <c r="F1" s="6"/>
      <c r="G1" s="7"/>
    </row>
    <row r="3" spans="1:12">
      <c r="A3" t="s">
        <v>8</v>
      </c>
      <c r="B3" t="s">
        <v>1</v>
      </c>
      <c r="C3" t="s">
        <v>66</v>
      </c>
      <c r="D3" t="s">
        <v>64</v>
      </c>
      <c r="E3" t="s">
        <v>9</v>
      </c>
      <c r="F3" t="s">
        <v>10</v>
      </c>
      <c r="G3" t="s">
        <v>67</v>
      </c>
      <c r="I3" s="2" t="s">
        <v>64</v>
      </c>
      <c r="J3" t="s">
        <v>69</v>
      </c>
      <c r="K3" t="s">
        <v>88</v>
      </c>
      <c r="L3" t="s">
        <v>68</v>
      </c>
    </row>
    <row r="4" spans="1:12">
      <c r="A4">
        <v>1001</v>
      </c>
      <c r="B4" t="s">
        <v>16</v>
      </c>
      <c r="C4" t="s">
        <v>70</v>
      </c>
      <c r="D4" t="s">
        <v>71</v>
      </c>
      <c r="E4">
        <v>3</v>
      </c>
      <c r="F4">
        <v>55000</v>
      </c>
      <c r="G4">
        <v>165000</v>
      </c>
      <c r="I4" t="s">
        <v>78</v>
      </c>
      <c r="J4" s="3">
        <v>89</v>
      </c>
      <c r="K4" s="3">
        <v>120307.69230769231</v>
      </c>
      <c r="L4" s="3">
        <v>1564000</v>
      </c>
    </row>
    <row r="5" spans="1:12">
      <c r="A5">
        <v>1002</v>
      </c>
      <c r="B5" t="s">
        <v>74</v>
      </c>
      <c r="C5" t="s">
        <v>75</v>
      </c>
      <c r="D5" t="s">
        <v>76</v>
      </c>
      <c r="E5">
        <v>5</v>
      </c>
      <c r="F5">
        <v>22000</v>
      </c>
      <c r="G5">
        <v>110000</v>
      </c>
      <c r="I5" t="s">
        <v>76</v>
      </c>
      <c r="J5" s="3">
        <v>84</v>
      </c>
      <c r="K5" s="3">
        <v>89958.333333333328</v>
      </c>
      <c r="L5" s="3">
        <v>1079500</v>
      </c>
    </row>
    <row r="6" spans="1:12">
      <c r="A6">
        <v>1003</v>
      </c>
      <c r="B6" t="s">
        <v>77</v>
      </c>
      <c r="C6" t="s">
        <v>72</v>
      </c>
      <c r="D6" t="s">
        <v>78</v>
      </c>
      <c r="E6">
        <v>4</v>
      </c>
      <c r="F6">
        <v>18000</v>
      </c>
      <c r="G6">
        <v>72000</v>
      </c>
      <c r="I6" t="s">
        <v>71</v>
      </c>
      <c r="J6" s="3">
        <v>90</v>
      </c>
      <c r="K6" s="3">
        <v>128884.61538461539</v>
      </c>
      <c r="L6" s="3">
        <v>1675500</v>
      </c>
    </row>
    <row r="7" spans="1:12">
      <c r="A7">
        <v>1004</v>
      </c>
      <c r="B7" t="s">
        <v>73</v>
      </c>
      <c r="C7" t="s">
        <v>80</v>
      </c>
      <c r="D7" t="s">
        <v>65</v>
      </c>
      <c r="E7">
        <v>8</v>
      </c>
      <c r="F7">
        <v>2500</v>
      </c>
      <c r="G7">
        <v>20000</v>
      </c>
      <c r="I7" t="s">
        <v>65</v>
      </c>
      <c r="J7" s="3">
        <v>79</v>
      </c>
      <c r="K7" s="3">
        <v>117750</v>
      </c>
      <c r="L7" s="3">
        <v>1413000</v>
      </c>
    </row>
    <row r="8" spans="1:12">
      <c r="A8">
        <v>1005</v>
      </c>
      <c r="B8" t="s">
        <v>16</v>
      </c>
      <c r="C8" t="s">
        <v>75</v>
      </c>
      <c r="D8" t="s">
        <v>71</v>
      </c>
      <c r="E8">
        <v>2</v>
      </c>
      <c r="F8">
        <v>55000</v>
      </c>
      <c r="G8">
        <v>110000</v>
      </c>
      <c r="I8" t="s">
        <v>84</v>
      </c>
      <c r="J8" s="3">
        <v>342</v>
      </c>
      <c r="K8" s="3">
        <v>114640</v>
      </c>
      <c r="L8" s="3">
        <v>5732000</v>
      </c>
    </row>
    <row r="9" spans="1:12">
      <c r="A9">
        <v>1006</v>
      </c>
      <c r="B9" t="s">
        <v>74</v>
      </c>
      <c r="C9" t="s">
        <v>70</v>
      </c>
      <c r="D9" t="s">
        <v>78</v>
      </c>
      <c r="E9">
        <v>7</v>
      </c>
      <c r="F9">
        <v>22000</v>
      </c>
      <c r="G9">
        <v>154000</v>
      </c>
    </row>
    <row r="10" spans="1:12">
      <c r="A10">
        <v>1007</v>
      </c>
      <c r="B10" t="s">
        <v>77</v>
      </c>
      <c r="C10" t="s">
        <v>80</v>
      </c>
      <c r="D10" t="s">
        <v>76</v>
      </c>
      <c r="E10">
        <v>6</v>
      </c>
      <c r="F10">
        <v>18000</v>
      </c>
      <c r="G10">
        <v>108000</v>
      </c>
    </row>
    <row r="11" spans="1:12">
      <c r="A11">
        <v>1008</v>
      </c>
      <c r="B11" t="s">
        <v>73</v>
      </c>
      <c r="C11" t="s">
        <v>72</v>
      </c>
      <c r="D11" t="s">
        <v>65</v>
      </c>
      <c r="E11">
        <v>10</v>
      </c>
      <c r="F11">
        <v>2500</v>
      </c>
      <c r="G11">
        <v>25000</v>
      </c>
    </row>
    <row r="12" spans="1:12">
      <c r="A12">
        <v>1009</v>
      </c>
      <c r="B12" t="s">
        <v>16</v>
      </c>
      <c r="C12" t="s">
        <v>72</v>
      </c>
      <c r="D12" t="s">
        <v>78</v>
      </c>
      <c r="E12">
        <v>4</v>
      </c>
      <c r="F12">
        <v>55000</v>
      </c>
      <c r="G12">
        <v>220000</v>
      </c>
    </row>
    <row r="13" spans="1:12">
      <c r="A13">
        <v>1010</v>
      </c>
      <c r="B13" t="s">
        <v>74</v>
      </c>
      <c r="C13" t="s">
        <v>80</v>
      </c>
      <c r="D13" t="s">
        <v>71</v>
      </c>
      <c r="E13">
        <v>3</v>
      </c>
      <c r="F13">
        <v>22000</v>
      </c>
      <c r="G13">
        <v>66000</v>
      </c>
    </row>
    <row r="14" spans="1:12">
      <c r="A14">
        <v>1011</v>
      </c>
      <c r="B14" t="s">
        <v>77</v>
      </c>
      <c r="C14" t="s">
        <v>70</v>
      </c>
      <c r="D14" t="s">
        <v>65</v>
      </c>
      <c r="E14">
        <v>5</v>
      </c>
      <c r="F14">
        <v>18000</v>
      </c>
      <c r="G14">
        <v>90000</v>
      </c>
    </row>
    <row r="15" spans="1:12">
      <c r="A15">
        <v>1012</v>
      </c>
      <c r="B15" t="s">
        <v>73</v>
      </c>
      <c r="C15" t="s">
        <v>75</v>
      </c>
      <c r="D15" t="s">
        <v>76</v>
      </c>
      <c r="E15">
        <v>12</v>
      </c>
      <c r="F15">
        <v>2500</v>
      </c>
      <c r="G15">
        <v>30000</v>
      </c>
    </row>
    <row r="16" spans="1:12">
      <c r="A16">
        <v>1013</v>
      </c>
      <c r="B16" t="s">
        <v>16</v>
      </c>
      <c r="C16" t="s">
        <v>80</v>
      </c>
      <c r="D16" t="s">
        <v>76</v>
      </c>
      <c r="E16">
        <v>2</v>
      </c>
      <c r="F16">
        <v>55000</v>
      </c>
      <c r="G16">
        <v>110000</v>
      </c>
    </row>
    <row r="17" spans="1:7">
      <c r="A17">
        <v>1014</v>
      </c>
      <c r="B17" t="s">
        <v>74</v>
      </c>
      <c r="C17" t="s">
        <v>72</v>
      </c>
      <c r="D17" t="s">
        <v>65</v>
      </c>
      <c r="E17">
        <v>6</v>
      </c>
      <c r="F17">
        <v>22000</v>
      </c>
      <c r="G17">
        <v>132000</v>
      </c>
    </row>
    <row r="18" spans="1:7">
      <c r="A18">
        <v>1015</v>
      </c>
      <c r="B18" t="s">
        <v>77</v>
      </c>
      <c r="C18" t="s">
        <v>75</v>
      </c>
      <c r="D18" t="s">
        <v>71</v>
      </c>
      <c r="E18">
        <v>7</v>
      </c>
      <c r="F18">
        <v>18000</v>
      </c>
      <c r="G18">
        <v>126000</v>
      </c>
    </row>
    <row r="19" spans="1:7">
      <c r="A19">
        <v>1016</v>
      </c>
      <c r="B19" t="s">
        <v>73</v>
      </c>
      <c r="C19" t="s">
        <v>70</v>
      </c>
      <c r="D19" t="s">
        <v>78</v>
      </c>
      <c r="E19">
        <v>9</v>
      </c>
      <c r="F19">
        <v>2500</v>
      </c>
      <c r="G19">
        <v>22500</v>
      </c>
    </row>
    <row r="20" spans="1:7">
      <c r="A20">
        <v>1017</v>
      </c>
      <c r="B20" t="s">
        <v>16</v>
      </c>
      <c r="C20" t="s">
        <v>70</v>
      </c>
      <c r="D20" t="s">
        <v>65</v>
      </c>
      <c r="E20">
        <v>5</v>
      </c>
      <c r="F20">
        <v>55000</v>
      </c>
      <c r="G20">
        <v>275000</v>
      </c>
    </row>
    <row r="21" spans="1:7">
      <c r="A21">
        <v>1018</v>
      </c>
      <c r="B21" t="s">
        <v>74</v>
      </c>
      <c r="C21" t="s">
        <v>75</v>
      </c>
      <c r="D21" t="s">
        <v>78</v>
      </c>
      <c r="E21">
        <v>4</v>
      </c>
      <c r="F21">
        <v>22000</v>
      </c>
      <c r="G21">
        <v>88000</v>
      </c>
    </row>
    <row r="22" spans="1:7">
      <c r="A22">
        <v>1019</v>
      </c>
      <c r="B22" t="s">
        <v>77</v>
      </c>
      <c r="C22" t="s">
        <v>72</v>
      </c>
      <c r="D22" t="s">
        <v>71</v>
      </c>
      <c r="E22">
        <v>8</v>
      </c>
      <c r="F22">
        <v>18000</v>
      </c>
      <c r="G22">
        <v>144000</v>
      </c>
    </row>
    <row r="23" spans="1:7">
      <c r="A23">
        <v>1020</v>
      </c>
      <c r="B23" t="s">
        <v>73</v>
      </c>
      <c r="C23" t="s">
        <v>80</v>
      </c>
      <c r="D23" t="s">
        <v>76</v>
      </c>
      <c r="E23">
        <v>15</v>
      </c>
      <c r="F23">
        <v>2500</v>
      </c>
      <c r="G23">
        <v>37500</v>
      </c>
    </row>
    <row r="24" spans="1:7">
      <c r="A24">
        <v>1021</v>
      </c>
      <c r="B24" t="s">
        <v>16</v>
      </c>
      <c r="C24" t="s">
        <v>75</v>
      </c>
      <c r="D24" t="s">
        <v>78</v>
      </c>
      <c r="E24">
        <v>3</v>
      </c>
      <c r="F24">
        <v>55000</v>
      </c>
      <c r="G24">
        <v>165000</v>
      </c>
    </row>
    <row r="25" spans="1:7">
      <c r="A25">
        <v>1022</v>
      </c>
      <c r="B25" t="s">
        <v>74</v>
      </c>
      <c r="C25" t="s">
        <v>70</v>
      </c>
      <c r="D25" t="s">
        <v>76</v>
      </c>
      <c r="E25">
        <v>8</v>
      </c>
      <c r="F25">
        <v>22000</v>
      </c>
      <c r="G25">
        <v>176000</v>
      </c>
    </row>
    <row r="26" spans="1:7">
      <c r="A26">
        <v>1023</v>
      </c>
      <c r="B26" t="s">
        <v>77</v>
      </c>
      <c r="C26" t="s">
        <v>80</v>
      </c>
      <c r="D26" t="s">
        <v>65</v>
      </c>
      <c r="E26">
        <v>4</v>
      </c>
      <c r="F26">
        <v>18000</v>
      </c>
      <c r="G26">
        <v>72000</v>
      </c>
    </row>
    <row r="27" spans="1:7">
      <c r="A27">
        <v>1024</v>
      </c>
      <c r="B27" t="s">
        <v>73</v>
      </c>
      <c r="C27" t="s">
        <v>72</v>
      </c>
      <c r="D27" t="s">
        <v>71</v>
      </c>
      <c r="E27">
        <v>11</v>
      </c>
      <c r="F27">
        <v>2500</v>
      </c>
      <c r="G27">
        <v>27500</v>
      </c>
    </row>
    <row r="28" spans="1:7">
      <c r="A28">
        <v>1025</v>
      </c>
      <c r="B28" t="s">
        <v>16</v>
      </c>
      <c r="C28" t="s">
        <v>72</v>
      </c>
      <c r="D28" t="s">
        <v>76</v>
      </c>
      <c r="E28">
        <v>2</v>
      </c>
      <c r="F28">
        <v>55000</v>
      </c>
      <c r="G28">
        <v>110000</v>
      </c>
    </row>
    <row r="29" spans="1:7">
      <c r="A29">
        <v>1026</v>
      </c>
      <c r="B29" t="s">
        <v>74</v>
      </c>
      <c r="C29" t="s">
        <v>80</v>
      </c>
      <c r="D29" t="s">
        <v>78</v>
      </c>
      <c r="E29">
        <v>5</v>
      </c>
      <c r="F29">
        <v>22000</v>
      </c>
      <c r="G29">
        <v>110000</v>
      </c>
    </row>
    <row r="30" spans="1:7">
      <c r="A30">
        <v>1027</v>
      </c>
      <c r="B30" t="s">
        <v>77</v>
      </c>
      <c r="C30" t="s">
        <v>70</v>
      </c>
      <c r="D30" t="s">
        <v>71</v>
      </c>
      <c r="E30">
        <v>6</v>
      </c>
      <c r="F30">
        <v>18000</v>
      </c>
      <c r="G30">
        <v>108000</v>
      </c>
    </row>
    <row r="31" spans="1:7">
      <c r="A31">
        <v>1028</v>
      </c>
      <c r="B31" t="s">
        <v>73</v>
      </c>
      <c r="C31" t="s">
        <v>75</v>
      </c>
      <c r="D31" t="s">
        <v>65</v>
      </c>
      <c r="E31">
        <v>14</v>
      </c>
      <c r="F31">
        <v>2500</v>
      </c>
      <c r="G31">
        <v>35000</v>
      </c>
    </row>
    <row r="32" spans="1:7">
      <c r="A32">
        <v>1029</v>
      </c>
      <c r="B32" t="s">
        <v>16</v>
      </c>
      <c r="C32" t="s">
        <v>80</v>
      </c>
      <c r="D32" t="s">
        <v>65</v>
      </c>
      <c r="E32">
        <v>4</v>
      </c>
      <c r="F32">
        <v>55000</v>
      </c>
      <c r="G32">
        <v>220000</v>
      </c>
    </row>
    <row r="33" spans="1:7">
      <c r="A33">
        <v>1030</v>
      </c>
      <c r="B33" t="s">
        <v>74</v>
      </c>
      <c r="C33" t="s">
        <v>72</v>
      </c>
      <c r="D33" t="s">
        <v>71</v>
      </c>
      <c r="E33">
        <v>7</v>
      </c>
      <c r="F33">
        <v>22000</v>
      </c>
      <c r="G33">
        <v>154000</v>
      </c>
    </row>
    <row r="34" spans="1:7">
      <c r="A34">
        <v>1031</v>
      </c>
      <c r="B34" t="s">
        <v>77</v>
      </c>
      <c r="C34" t="s">
        <v>75</v>
      </c>
      <c r="D34" t="s">
        <v>76</v>
      </c>
      <c r="E34">
        <v>5</v>
      </c>
      <c r="F34">
        <v>18000</v>
      </c>
      <c r="G34">
        <v>90000</v>
      </c>
    </row>
    <row r="35" spans="1:7">
      <c r="A35">
        <v>1032</v>
      </c>
      <c r="B35" t="s">
        <v>73</v>
      </c>
      <c r="C35" t="s">
        <v>70</v>
      </c>
      <c r="D35" t="s">
        <v>78</v>
      </c>
      <c r="E35">
        <v>13</v>
      </c>
      <c r="F35">
        <v>2500</v>
      </c>
      <c r="G35">
        <v>32500</v>
      </c>
    </row>
    <row r="36" spans="1:7">
      <c r="A36">
        <v>1033</v>
      </c>
      <c r="B36" t="s">
        <v>16</v>
      </c>
      <c r="C36" t="s">
        <v>70</v>
      </c>
      <c r="D36" t="s">
        <v>76</v>
      </c>
      <c r="E36">
        <v>3</v>
      </c>
      <c r="F36">
        <v>55000</v>
      </c>
      <c r="G36">
        <v>165000</v>
      </c>
    </row>
    <row r="37" spans="1:7">
      <c r="A37">
        <v>1034</v>
      </c>
      <c r="B37" t="s">
        <v>74</v>
      </c>
      <c r="C37" t="s">
        <v>75</v>
      </c>
      <c r="D37" t="s">
        <v>65</v>
      </c>
      <c r="E37">
        <v>6</v>
      </c>
      <c r="F37">
        <v>22000</v>
      </c>
      <c r="G37">
        <v>132000</v>
      </c>
    </row>
    <row r="38" spans="1:7">
      <c r="A38">
        <v>1035</v>
      </c>
      <c r="B38" t="s">
        <v>77</v>
      </c>
      <c r="C38" t="s">
        <v>72</v>
      </c>
      <c r="D38" t="s">
        <v>78</v>
      </c>
      <c r="E38">
        <v>9</v>
      </c>
      <c r="F38">
        <v>18000</v>
      </c>
      <c r="G38">
        <v>162000</v>
      </c>
    </row>
    <row r="39" spans="1:7">
      <c r="A39">
        <v>1036</v>
      </c>
      <c r="B39" t="s">
        <v>73</v>
      </c>
      <c r="C39" t="s">
        <v>80</v>
      </c>
      <c r="D39" t="s">
        <v>71</v>
      </c>
      <c r="E39">
        <v>16</v>
      </c>
      <c r="F39">
        <v>2500</v>
      </c>
      <c r="G39">
        <v>40000</v>
      </c>
    </row>
    <row r="40" spans="1:7">
      <c r="A40">
        <v>1037</v>
      </c>
      <c r="B40" t="s">
        <v>16</v>
      </c>
      <c r="C40" t="s">
        <v>75</v>
      </c>
      <c r="D40" t="s">
        <v>65</v>
      </c>
      <c r="E40">
        <v>2</v>
      </c>
      <c r="F40">
        <v>55000</v>
      </c>
      <c r="G40">
        <v>110000</v>
      </c>
    </row>
    <row r="41" spans="1:7">
      <c r="A41">
        <v>1038</v>
      </c>
      <c r="B41" t="s">
        <v>74</v>
      </c>
      <c r="C41" t="s">
        <v>70</v>
      </c>
      <c r="D41" t="s">
        <v>71</v>
      </c>
      <c r="E41">
        <v>9</v>
      </c>
      <c r="F41">
        <v>22000</v>
      </c>
      <c r="G41">
        <v>198000</v>
      </c>
    </row>
    <row r="42" spans="1:7">
      <c r="A42">
        <v>1039</v>
      </c>
      <c r="B42" t="s">
        <v>77</v>
      </c>
      <c r="C42" t="s">
        <v>80</v>
      </c>
      <c r="D42" t="s">
        <v>78</v>
      </c>
      <c r="E42">
        <v>6</v>
      </c>
      <c r="F42">
        <v>18000</v>
      </c>
      <c r="G42">
        <v>108000</v>
      </c>
    </row>
    <row r="43" spans="1:7">
      <c r="A43">
        <v>1040</v>
      </c>
      <c r="B43" t="s">
        <v>73</v>
      </c>
      <c r="C43" t="s">
        <v>72</v>
      </c>
      <c r="D43" t="s">
        <v>76</v>
      </c>
      <c r="E43">
        <v>12</v>
      </c>
      <c r="F43">
        <v>2500</v>
      </c>
      <c r="G43">
        <v>30000</v>
      </c>
    </row>
    <row r="44" spans="1:7">
      <c r="A44">
        <v>1041</v>
      </c>
      <c r="B44" t="s">
        <v>16</v>
      </c>
      <c r="C44" t="s">
        <v>72</v>
      </c>
      <c r="D44" t="s">
        <v>71</v>
      </c>
      <c r="E44">
        <v>5</v>
      </c>
      <c r="F44">
        <v>55000</v>
      </c>
      <c r="G44">
        <v>275000</v>
      </c>
    </row>
    <row r="45" spans="1:7">
      <c r="A45">
        <v>1042</v>
      </c>
      <c r="B45" t="s">
        <v>74</v>
      </c>
      <c r="C45" t="s">
        <v>80</v>
      </c>
      <c r="D45" t="s">
        <v>76</v>
      </c>
      <c r="E45">
        <v>4</v>
      </c>
      <c r="F45">
        <v>22000</v>
      </c>
      <c r="G45">
        <v>88000</v>
      </c>
    </row>
    <row r="46" spans="1:7">
      <c r="A46">
        <v>1043</v>
      </c>
      <c r="B46" t="s">
        <v>77</v>
      </c>
      <c r="C46" t="s">
        <v>70</v>
      </c>
      <c r="D46" t="s">
        <v>65</v>
      </c>
      <c r="E46">
        <v>7</v>
      </c>
      <c r="F46">
        <v>18000</v>
      </c>
      <c r="G46">
        <v>126000</v>
      </c>
    </row>
    <row r="47" spans="1:7">
      <c r="A47">
        <v>1044</v>
      </c>
      <c r="B47" t="s">
        <v>73</v>
      </c>
      <c r="C47" t="s">
        <v>75</v>
      </c>
      <c r="D47" t="s">
        <v>78</v>
      </c>
      <c r="E47">
        <v>18</v>
      </c>
      <c r="F47">
        <v>2500</v>
      </c>
      <c r="G47">
        <v>45000</v>
      </c>
    </row>
    <row r="48" spans="1:7">
      <c r="A48">
        <v>1045</v>
      </c>
      <c r="B48" t="s">
        <v>16</v>
      </c>
      <c r="C48" t="s">
        <v>80</v>
      </c>
      <c r="D48" t="s">
        <v>78</v>
      </c>
      <c r="E48">
        <v>3</v>
      </c>
      <c r="F48">
        <v>55000</v>
      </c>
      <c r="G48">
        <v>165000</v>
      </c>
    </row>
    <row r="49" spans="1:7">
      <c r="A49">
        <v>1046</v>
      </c>
      <c r="B49" t="s">
        <v>74</v>
      </c>
      <c r="C49" t="s">
        <v>72</v>
      </c>
      <c r="D49" t="s">
        <v>65</v>
      </c>
      <c r="E49">
        <v>8</v>
      </c>
      <c r="F49">
        <v>22000</v>
      </c>
      <c r="G49">
        <v>176000</v>
      </c>
    </row>
    <row r="50" spans="1:7">
      <c r="A50">
        <v>1047</v>
      </c>
      <c r="B50" t="s">
        <v>77</v>
      </c>
      <c r="C50" t="s">
        <v>75</v>
      </c>
      <c r="D50" t="s">
        <v>71</v>
      </c>
      <c r="E50">
        <v>6</v>
      </c>
      <c r="F50">
        <v>18000</v>
      </c>
      <c r="G50">
        <v>108000</v>
      </c>
    </row>
    <row r="51" spans="1:7">
      <c r="A51">
        <v>1048</v>
      </c>
      <c r="B51" t="s">
        <v>73</v>
      </c>
      <c r="C51" t="s">
        <v>70</v>
      </c>
      <c r="D51" t="s">
        <v>76</v>
      </c>
      <c r="E51">
        <v>10</v>
      </c>
      <c r="F51">
        <v>2500</v>
      </c>
      <c r="G51">
        <v>25000</v>
      </c>
    </row>
    <row r="52" spans="1:7">
      <c r="A52">
        <v>1049</v>
      </c>
      <c r="B52" t="s">
        <v>16</v>
      </c>
      <c r="C52" t="s">
        <v>70</v>
      </c>
      <c r="D52" t="s">
        <v>78</v>
      </c>
      <c r="E52">
        <v>4</v>
      </c>
      <c r="F52">
        <v>55000</v>
      </c>
      <c r="G52">
        <v>220000</v>
      </c>
    </row>
    <row r="53" spans="1:7">
      <c r="A53">
        <v>1050</v>
      </c>
      <c r="B53" t="s">
        <v>74</v>
      </c>
      <c r="C53" t="s">
        <v>75</v>
      </c>
      <c r="D53" t="s">
        <v>71</v>
      </c>
      <c r="E53">
        <v>7</v>
      </c>
      <c r="F53">
        <v>22000</v>
      </c>
      <c r="G53">
        <v>154000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9A7D-D3F6-4C52-A227-5A64FB51A10B}">
  <dimension ref="A1:P53"/>
  <sheetViews>
    <sheetView topLeftCell="A36" workbookViewId="0">
      <selection activeCell="A3" sqref="A3:I53"/>
    </sheetView>
  </sheetViews>
  <sheetFormatPr defaultRowHeight="15"/>
  <cols>
    <col min="2" max="2" width="14.85546875" bestFit="1" customWidth="1"/>
    <col min="3" max="3" width="14.85546875" customWidth="1"/>
    <col min="11" max="11" width="20.42578125" bestFit="1" customWidth="1"/>
    <col min="12" max="12" width="12.28515625" bestFit="1" customWidth="1"/>
    <col min="13" max="15" width="8.7109375" bestFit="1" customWidth="1"/>
    <col min="16" max="17" width="11.7109375" bestFit="1" customWidth="1"/>
  </cols>
  <sheetData>
    <row r="1" spans="1:16" ht="18.75">
      <c r="A1" s="5" t="s">
        <v>89</v>
      </c>
      <c r="B1" s="6"/>
      <c r="C1" s="6"/>
      <c r="D1" s="6"/>
      <c r="E1" s="6"/>
      <c r="F1" s="6"/>
      <c r="G1" s="6"/>
      <c r="H1" s="7"/>
      <c r="K1" s="2" t="s">
        <v>66</v>
      </c>
      <c r="L1" t="s">
        <v>90</v>
      </c>
    </row>
    <row r="2" spans="1:16">
      <c r="K2" s="2" t="s">
        <v>64</v>
      </c>
      <c r="L2" t="s">
        <v>90</v>
      </c>
    </row>
    <row r="3" spans="1:16">
      <c r="A3" t="s">
        <v>8</v>
      </c>
      <c r="B3" t="s">
        <v>91</v>
      </c>
      <c r="C3" t="s">
        <v>92</v>
      </c>
      <c r="D3" t="s">
        <v>1</v>
      </c>
      <c r="E3" t="s">
        <v>66</v>
      </c>
      <c r="F3" t="s">
        <v>64</v>
      </c>
      <c r="G3" t="s">
        <v>9</v>
      </c>
      <c r="H3" t="s">
        <v>10</v>
      </c>
      <c r="I3" t="s">
        <v>67</v>
      </c>
    </row>
    <row r="4" spans="1:16">
      <c r="A4">
        <v>1001</v>
      </c>
      <c r="B4" s="4">
        <v>46235</v>
      </c>
      <c r="C4" s="4" t="str">
        <f>TEXT(B4,"mmmm")</f>
        <v>August</v>
      </c>
      <c r="D4" t="s">
        <v>16</v>
      </c>
      <c r="E4" t="s">
        <v>70</v>
      </c>
      <c r="F4" t="s">
        <v>71</v>
      </c>
      <c r="G4">
        <v>3</v>
      </c>
      <c r="H4">
        <v>55000</v>
      </c>
      <c r="I4">
        <v>165000</v>
      </c>
      <c r="K4" s="2" t="s">
        <v>68</v>
      </c>
      <c r="L4" s="2" t="s">
        <v>1</v>
      </c>
    </row>
    <row r="5" spans="1:16">
      <c r="A5">
        <v>1002</v>
      </c>
      <c r="B5" s="4">
        <v>46236</v>
      </c>
      <c r="C5" s="4" t="str">
        <f t="shared" ref="C5:C53" si="0">TEXT(B5,"mmmm")</f>
        <v>August</v>
      </c>
      <c r="D5" t="s">
        <v>74</v>
      </c>
      <c r="E5" t="s">
        <v>75</v>
      </c>
      <c r="F5" t="s">
        <v>76</v>
      </c>
      <c r="G5">
        <v>5</v>
      </c>
      <c r="H5">
        <v>22000</v>
      </c>
      <c r="I5">
        <v>110000</v>
      </c>
      <c r="K5" s="2" t="s">
        <v>92</v>
      </c>
      <c r="L5" t="s">
        <v>73</v>
      </c>
      <c r="M5" t="s">
        <v>16</v>
      </c>
      <c r="N5" t="s">
        <v>74</v>
      </c>
      <c r="O5" t="s">
        <v>77</v>
      </c>
      <c r="P5" t="s">
        <v>84</v>
      </c>
    </row>
    <row r="6" spans="1:16">
      <c r="A6">
        <v>1003</v>
      </c>
      <c r="B6" s="4">
        <v>46237</v>
      </c>
      <c r="C6" s="4" t="str">
        <f t="shared" si="0"/>
        <v>August</v>
      </c>
      <c r="D6" t="s">
        <v>77</v>
      </c>
      <c r="E6" t="s">
        <v>72</v>
      </c>
      <c r="F6" t="s">
        <v>78</v>
      </c>
      <c r="G6">
        <v>4</v>
      </c>
      <c r="H6">
        <v>18000</v>
      </c>
      <c r="I6">
        <v>72000</v>
      </c>
      <c r="K6" t="s">
        <v>93</v>
      </c>
      <c r="L6" s="3">
        <v>197500</v>
      </c>
      <c r="M6" s="3">
        <v>1375000</v>
      </c>
      <c r="N6" s="3">
        <v>990000</v>
      </c>
      <c r="O6" s="3">
        <v>810000</v>
      </c>
      <c r="P6" s="3">
        <v>3372500</v>
      </c>
    </row>
    <row r="7" spans="1:16">
      <c r="A7">
        <v>1004</v>
      </c>
      <c r="B7" s="4">
        <v>46238</v>
      </c>
      <c r="C7" s="4" t="str">
        <f t="shared" si="0"/>
        <v>August</v>
      </c>
      <c r="D7" t="s">
        <v>73</v>
      </c>
      <c r="E7" t="s">
        <v>80</v>
      </c>
      <c r="F7" t="s">
        <v>65</v>
      </c>
      <c r="G7">
        <v>8</v>
      </c>
      <c r="H7">
        <v>2500</v>
      </c>
      <c r="I7">
        <v>20000</v>
      </c>
      <c r="K7" t="s">
        <v>94</v>
      </c>
      <c r="L7" s="3">
        <v>172500</v>
      </c>
      <c r="M7" s="3">
        <v>935000</v>
      </c>
      <c r="N7" s="3">
        <v>748000</v>
      </c>
      <c r="O7" s="3">
        <v>504000</v>
      </c>
      <c r="P7" s="3">
        <v>2359500</v>
      </c>
    </row>
    <row r="8" spans="1:16">
      <c r="A8">
        <v>1005</v>
      </c>
      <c r="B8" s="4">
        <v>46239</v>
      </c>
      <c r="C8" s="4" t="str">
        <f t="shared" si="0"/>
        <v>August</v>
      </c>
      <c r="D8" t="s">
        <v>16</v>
      </c>
      <c r="E8" t="s">
        <v>75</v>
      </c>
      <c r="F8" t="s">
        <v>71</v>
      </c>
      <c r="G8">
        <v>2</v>
      </c>
      <c r="H8">
        <v>55000</v>
      </c>
      <c r="I8">
        <v>110000</v>
      </c>
      <c r="K8" t="s">
        <v>84</v>
      </c>
      <c r="L8" s="3">
        <v>370000</v>
      </c>
      <c r="M8" s="3">
        <v>2310000</v>
      </c>
      <c r="N8" s="3">
        <v>1738000</v>
      </c>
      <c r="O8" s="3">
        <v>1314000</v>
      </c>
      <c r="P8" s="3">
        <v>5732000</v>
      </c>
    </row>
    <row r="9" spans="1:16">
      <c r="A9">
        <v>1006</v>
      </c>
      <c r="B9" s="4">
        <v>46240</v>
      </c>
      <c r="C9" s="4" t="str">
        <f t="shared" si="0"/>
        <v>August</v>
      </c>
      <c r="D9" t="s">
        <v>74</v>
      </c>
      <c r="E9" t="s">
        <v>70</v>
      </c>
      <c r="F9" t="s">
        <v>78</v>
      </c>
      <c r="G9">
        <v>7</v>
      </c>
      <c r="H9">
        <v>22000</v>
      </c>
      <c r="I9">
        <v>154000</v>
      </c>
    </row>
    <row r="10" spans="1:16">
      <c r="A10">
        <v>1007</v>
      </c>
      <c r="B10" s="4">
        <v>46241</v>
      </c>
      <c r="C10" s="4" t="str">
        <f t="shared" si="0"/>
        <v>August</v>
      </c>
      <c r="D10" t="s">
        <v>77</v>
      </c>
      <c r="E10" t="s">
        <v>80</v>
      </c>
      <c r="F10" t="s">
        <v>76</v>
      </c>
      <c r="G10">
        <v>6</v>
      </c>
      <c r="H10">
        <v>18000</v>
      </c>
      <c r="I10">
        <v>108000</v>
      </c>
    </row>
    <row r="11" spans="1:16">
      <c r="A11">
        <v>1008</v>
      </c>
      <c r="B11" s="4">
        <v>46242</v>
      </c>
      <c r="C11" s="4" t="str">
        <f t="shared" si="0"/>
        <v>August</v>
      </c>
      <c r="D11" t="s">
        <v>73</v>
      </c>
      <c r="E11" t="s">
        <v>72</v>
      </c>
      <c r="F11" t="s">
        <v>65</v>
      </c>
      <c r="G11">
        <v>10</v>
      </c>
      <c r="H11">
        <v>2500</v>
      </c>
      <c r="I11">
        <v>25000</v>
      </c>
    </row>
    <row r="12" spans="1:16">
      <c r="A12">
        <v>1009</v>
      </c>
      <c r="B12" s="4">
        <v>46243</v>
      </c>
      <c r="C12" s="4" t="str">
        <f t="shared" si="0"/>
        <v>August</v>
      </c>
      <c r="D12" t="s">
        <v>16</v>
      </c>
      <c r="E12" t="s">
        <v>72</v>
      </c>
      <c r="F12" t="s">
        <v>78</v>
      </c>
      <c r="G12">
        <v>4</v>
      </c>
      <c r="H12">
        <v>55000</v>
      </c>
      <c r="I12">
        <v>220000</v>
      </c>
    </row>
    <row r="13" spans="1:16">
      <c r="A13">
        <v>1010</v>
      </c>
      <c r="B13" s="4">
        <v>46244</v>
      </c>
      <c r="C13" s="4" t="str">
        <f t="shared" si="0"/>
        <v>August</v>
      </c>
      <c r="D13" t="s">
        <v>74</v>
      </c>
      <c r="E13" t="s">
        <v>80</v>
      </c>
      <c r="F13" t="s">
        <v>71</v>
      </c>
      <c r="G13">
        <v>3</v>
      </c>
      <c r="H13">
        <v>22000</v>
      </c>
      <c r="I13">
        <v>66000</v>
      </c>
    </row>
    <row r="14" spans="1:16">
      <c r="A14">
        <v>1011</v>
      </c>
      <c r="B14" s="4">
        <v>46245</v>
      </c>
      <c r="C14" s="4" t="str">
        <f t="shared" si="0"/>
        <v>August</v>
      </c>
      <c r="D14" t="s">
        <v>77</v>
      </c>
      <c r="E14" t="s">
        <v>70</v>
      </c>
      <c r="F14" t="s">
        <v>65</v>
      </c>
      <c r="G14">
        <v>5</v>
      </c>
      <c r="H14">
        <v>18000</v>
      </c>
      <c r="I14">
        <v>90000</v>
      </c>
    </row>
    <row r="15" spans="1:16">
      <c r="A15">
        <v>1012</v>
      </c>
      <c r="B15" s="4">
        <v>46246</v>
      </c>
      <c r="C15" s="4" t="str">
        <f t="shared" si="0"/>
        <v>August</v>
      </c>
      <c r="D15" t="s">
        <v>73</v>
      </c>
      <c r="E15" t="s">
        <v>75</v>
      </c>
      <c r="F15" t="s">
        <v>76</v>
      </c>
      <c r="G15">
        <v>12</v>
      </c>
      <c r="H15">
        <v>2500</v>
      </c>
      <c r="I15">
        <v>30000</v>
      </c>
    </row>
    <row r="16" spans="1:16">
      <c r="A16">
        <v>1013</v>
      </c>
      <c r="B16" s="4">
        <v>46247</v>
      </c>
      <c r="C16" s="4" t="str">
        <f t="shared" si="0"/>
        <v>August</v>
      </c>
      <c r="D16" t="s">
        <v>16</v>
      </c>
      <c r="E16" t="s">
        <v>80</v>
      </c>
      <c r="F16" t="s">
        <v>76</v>
      </c>
      <c r="G16">
        <v>2</v>
      </c>
      <c r="H16">
        <v>55000</v>
      </c>
      <c r="I16">
        <v>110000</v>
      </c>
    </row>
    <row r="17" spans="1:9">
      <c r="A17">
        <v>1014</v>
      </c>
      <c r="B17" s="4">
        <v>46248</v>
      </c>
      <c r="C17" s="4" t="str">
        <f t="shared" si="0"/>
        <v>August</v>
      </c>
      <c r="D17" t="s">
        <v>74</v>
      </c>
      <c r="E17" t="s">
        <v>72</v>
      </c>
      <c r="F17" t="s">
        <v>65</v>
      </c>
      <c r="G17">
        <v>6</v>
      </c>
      <c r="H17">
        <v>22000</v>
      </c>
      <c r="I17">
        <v>132000</v>
      </c>
    </row>
    <row r="18" spans="1:9">
      <c r="A18">
        <v>1015</v>
      </c>
      <c r="B18" s="4">
        <v>46249</v>
      </c>
      <c r="C18" s="4" t="str">
        <f t="shared" si="0"/>
        <v>August</v>
      </c>
      <c r="D18" t="s">
        <v>77</v>
      </c>
      <c r="E18" t="s">
        <v>75</v>
      </c>
      <c r="F18" t="s">
        <v>71</v>
      </c>
      <c r="G18">
        <v>7</v>
      </c>
      <c r="H18">
        <v>18000</v>
      </c>
      <c r="I18">
        <v>126000</v>
      </c>
    </row>
    <row r="19" spans="1:9">
      <c r="A19">
        <v>1016</v>
      </c>
      <c r="B19" s="4">
        <v>46250</v>
      </c>
      <c r="C19" s="4" t="str">
        <f t="shared" si="0"/>
        <v>August</v>
      </c>
      <c r="D19" t="s">
        <v>73</v>
      </c>
      <c r="E19" t="s">
        <v>70</v>
      </c>
      <c r="F19" t="s">
        <v>78</v>
      </c>
      <c r="G19">
        <v>9</v>
      </c>
      <c r="H19">
        <v>2500</v>
      </c>
      <c r="I19">
        <v>22500</v>
      </c>
    </row>
    <row r="20" spans="1:9">
      <c r="A20">
        <v>1017</v>
      </c>
      <c r="B20" s="4">
        <v>46251</v>
      </c>
      <c r="C20" s="4" t="str">
        <f t="shared" si="0"/>
        <v>August</v>
      </c>
      <c r="D20" t="s">
        <v>16</v>
      </c>
      <c r="E20" t="s">
        <v>70</v>
      </c>
      <c r="F20" t="s">
        <v>65</v>
      </c>
      <c r="G20">
        <v>5</v>
      </c>
      <c r="H20">
        <v>55000</v>
      </c>
      <c r="I20">
        <v>275000</v>
      </c>
    </row>
    <row r="21" spans="1:9">
      <c r="A21">
        <v>1018</v>
      </c>
      <c r="B21" s="4">
        <v>46252</v>
      </c>
      <c r="C21" s="4" t="str">
        <f t="shared" si="0"/>
        <v>August</v>
      </c>
      <c r="D21" t="s">
        <v>74</v>
      </c>
      <c r="E21" t="s">
        <v>75</v>
      </c>
      <c r="F21" t="s">
        <v>78</v>
      </c>
      <c r="G21">
        <v>4</v>
      </c>
      <c r="H21">
        <v>22000</v>
      </c>
      <c r="I21">
        <v>88000</v>
      </c>
    </row>
    <row r="22" spans="1:9">
      <c r="A22">
        <v>1019</v>
      </c>
      <c r="B22" s="4">
        <v>46253</v>
      </c>
      <c r="C22" s="4" t="str">
        <f t="shared" si="0"/>
        <v>August</v>
      </c>
      <c r="D22" t="s">
        <v>77</v>
      </c>
      <c r="E22" t="s">
        <v>72</v>
      </c>
      <c r="F22" t="s">
        <v>71</v>
      </c>
      <c r="G22">
        <v>8</v>
      </c>
      <c r="H22">
        <v>18000</v>
      </c>
      <c r="I22">
        <v>144000</v>
      </c>
    </row>
    <row r="23" spans="1:9">
      <c r="A23">
        <v>1020</v>
      </c>
      <c r="B23" s="4">
        <v>46254</v>
      </c>
      <c r="C23" s="4" t="str">
        <f t="shared" si="0"/>
        <v>August</v>
      </c>
      <c r="D23" t="s">
        <v>73</v>
      </c>
      <c r="E23" t="s">
        <v>80</v>
      </c>
      <c r="F23" t="s">
        <v>76</v>
      </c>
      <c r="G23">
        <v>15</v>
      </c>
      <c r="H23">
        <v>2500</v>
      </c>
      <c r="I23">
        <v>37500</v>
      </c>
    </row>
    <row r="24" spans="1:9">
      <c r="A24">
        <v>1021</v>
      </c>
      <c r="B24" s="4">
        <v>46255</v>
      </c>
      <c r="C24" s="4" t="str">
        <f t="shared" si="0"/>
        <v>August</v>
      </c>
      <c r="D24" t="s">
        <v>16</v>
      </c>
      <c r="E24" t="s">
        <v>75</v>
      </c>
      <c r="F24" t="s">
        <v>78</v>
      </c>
      <c r="G24">
        <v>3</v>
      </c>
      <c r="H24">
        <v>55000</v>
      </c>
      <c r="I24">
        <v>165000</v>
      </c>
    </row>
    <row r="25" spans="1:9">
      <c r="A25">
        <v>1022</v>
      </c>
      <c r="B25" s="4">
        <v>46256</v>
      </c>
      <c r="C25" s="4" t="str">
        <f t="shared" si="0"/>
        <v>August</v>
      </c>
      <c r="D25" t="s">
        <v>74</v>
      </c>
      <c r="E25" t="s">
        <v>70</v>
      </c>
      <c r="F25" t="s">
        <v>76</v>
      </c>
      <c r="G25">
        <v>8</v>
      </c>
      <c r="H25">
        <v>22000</v>
      </c>
      <c r="I25">
        <v>176000</v>
      </c>
    </row>
    <row r="26" spans="1:9">
      <c r="A26">
        <v>1023</v>
      </c>
      <c r="B26" s="4">
        <v>46257</v>
      </c>
      <c r="C26" s="4" t="str">
        <f t="shared" si="0"/>
        <v>August</v>
      </c>
      <c r="D26" t="s">
        <v>77</v>
      </c>
      <c r="E26" t="s">
        <v>80</v>
      </c>
      <c r="F26" t="s">
        <v>65</v>
      </c>
      <c r="G26">
        <v>4</v>
      </c>
      <c r="H26">
        <v>18000</v>
      </c>
      <c r="I26">
        <v>72000</v>
      </c>
    </row>
    <row r="27" spans="1:9">
      <c r="A27">
        <v>1024</v>
      </c>
      <c r="B27" s="4">
        <v>46258</v>
      </c>
      <c r="C27" s="4" t="str">
        <f t="shared" si="0"/>
        <v>August</v>
      </c>
      <c r="D27" t="s">
        <v>73</v>
      </c>
      <c r="E27" t="s">
        <v>72</v>
      </c>
      <c r="F27" t="s">
        <v>71</v>
      </c>
      <c r="G27">
        <v>11</v>
      </c>
      <c r="H27">
        <v>2500</v>
      </c>
      <c r="I27">
        <v>27500</v>
      </c>
    </row>
    <row r="28" spans="1:9">
      <c r="A28">
        <v>1025</v>
      </c>
      <c r="B28" s="4">
        <v>46259</v>
      </c>
      <c r="C28" s="4" t="str">
        <f t="shared" si="0"/>
        <v>August</v>
      </c>
      <c r="D28" t="s">
        <v>16</v>
      </c>
      <c r="E28" t="s">
        <v>72</v>
      </c>
      <c r="F28" t="s">
        <v>76</v>
      </c>
      <c r="G28">
        <v>2</v>
      </c>
      <c r="H28">
        <v>55000</v>
      </c>
      <c r="I28">
        <v>110000</v>
      </c>
    </row>
    <row r="29" spans="1:9">
      <c r="A29">
        <v>1026</v>
      </c>
      <c r="B29" s="4">
        <v>46260</v>
      </c>
      <c r="C29" s="4" t="str">
        <f t="shared" si="0"/>
        <v>August</v>
      </c>
      <c r="D29" t="s">
        <v>74</v>
      </c>
      <c r="E29" t="s">
        <v>80</v>
      </c>
      <c r="F29" t="s">
        <v>78</v>
      </c>
      <c r="G29">
        <v>5</v>
      </c>
      <c r="H29">
        <v>22000</v>
      </c>
      <c r="I29">
        <v>110000</v>
      </c>
    </row>
    <row r="30" spans="1:9">
      <c r="A30">
        <v>1027</v>
      </c>
      <c r="B30" s="4">
        <v>46261</v>
      </c>
      <c r="C30" s="4" t="str">
        <f t="shared" si="0"/>
        <v>August</v>
      </c>
      <c r="D30" t="s">
        <v>77</v>
      </c>
      <c r="E30" t="s">
        <v>70</v>
      </c>
      <c r="F30" t="s">
        <v>71</v>
      </c>
      <c r="G30">
        <v>6</v>
      </c>
      <c r="H30">
        <v>18000</v>
      </c>
      <c r="I30">
        <v>108000</v>
      </c>
    </row>
    <row r="31" spans="1:9">
      <c r="A31">
        <v>1028</v>
      </c>
      <c r="B31" s="4">
        <v>46262</v>
      </c>
      <c r="C31" s="4" t="str">
        <f t="shared" si="0"/>
        <v>August</v>
      </c>
      <c r="D31" t="s">
        <v>73</v>
      </c>
      <c r="E31" t="s">
        <v>75</v>
      </c>
      <c r="F31" t="s">
        <v>65</v>
      </c>
      <c r="G31">
        <v>14</v>
      </c>
      <c r="H31">
        <v>2500</v>
      </c>
      <c r="I31">
        <v>35000</v>
      </c>
    </row>
    <row r="32" spans="1:9">
      <c r="A32">
        <v>1029</v>
      </c>
      <c r="B32" s="4">
        <v>46263</v>
      </c>
      <c r="C32" s="4" t="str">
        <f t="shared" si="0"/>
        <v>August</v>
      </c>
      <c r="D32" t="s">
        <v>16</v>
      </c>
      <c r="E32" t="s">
        <v>80</v>
      </c>
      <c r="F32" t="s">
        <v>65</v>
      </c>
      <c r="G32">
        <v>4</v>
      </c>
      <c r="H32">
        <v>55000</v>
      </c>
      <c r="I32">
        <v>220000</v>
      </c>
    </row>
    <row r="33" spans="1:9">
      <c r="A33">
        <v>1030</v>
      </c>
      <c r="B33" s="4">
        <v>46264</v>
      </c>
      <c r="C33" s="4" t="str">
        <f t="shared" si="0"/>
        <v>August</v>
      </c>
      <c r="D33" t="s">
        <v>74</v>
      </c>
      <c r="E33" t="s">
        <v>72</v>
      </c>
      <c r="F33" t="s">
        <v>71</v>
      </c>
      <c r="G33">
        <v>7</v>
      </c>
      <c r="H33">
        <v>22000</v>
      </c>
      <c r="I33">
        <v>154000</v>
      </c>
    </row>
    <row r="34" spans="1:9">
      <c r="A34">
        <v>1031</v>
      </c>
      <c r="B34" s="4">
        <v>46265</v>
      </c>
      <c r="C34" s="4" t="str">
        <f t="shared" si="0"/>
        <v>August</v>
      </c>
      <c r="D34" t="s">
        <v>77</v>
      </c>
      <c r="E34" t="s">
        <v>75</v>
      </c>
      <c r="F34" t="s">
        <v>76</v>
      </c>
      <c r="G34">
        <v>5</v>
      </c>
      <c r="H34">
        <v>18000</v>
      </c>
      <c r="I34">
        <v>90000</v>
      </c>
    </row>
    <row r="35" spans="1:9">
      <c r="A35">
        <v>1032</v>
      </c>
      <c r="B35" s="4">
        <v>46266</v>
      </c>
      <c r="C35" s="4" t="str">
        <f t="shared" si="0"/>
        <v>September</v>
      </c>
      <c r="D35" t="s">
        <v>73</v>
      </c>
      <c r="E35" t="s">
        <v>70</v>
      </c>
      <c r="F35" t="s">
        <v>78</v>
      </c>
      <c r="G35">
        <v>13</v>
      </c>
      <c r="H35">
        <v>2500</v>
      </c>
      <c r="I35">
        <v>32500</v>
      </c>
    </row>
    <row r="36" spans="1:9">
      <c r="A36">
        <v>1033</v>
      </c>
      <c r="B36" s="4">
        <v>46267</v>
      </c>
      <c r="C36" s="4" t="str">
        <f t="shared" si="0"/>
        <v>September</v>
      </c>
      <c r="D36" t="s">
        <v>16</v>
      </c>
      <c r="E36" t="s">
        <v>70</v>
      </c>
      <c r="F36" t="s">
        <v>76</v>
      </c>
      <c r="G36">
        <v>3</v>
      </c>
      <c r="H36">
        <v>55000</v>
      </c>
      <c r="I36">
        <v>165000</v>
      </c>
    </row>
    <row r="37" spans="1:9">
      <c r="A37">
        <v>1034</v>
      </c>
      <c r="B37" s="4">
        <v>46268</v>
      </c>
      <c r="C37" s="4" t="str">
        <f t="shared" si="0"/>
        <v>September</v>
      </c>
      <c r="D37" t="s">
        <v>74</v>
      </c>
      <c r="E37" t="s">
        <v>75</v>
      </c>
      <c r="F37" t="s">
        <v>65</v>
      </c>
      <c r="G37">
        <v>6</v>
      </c>
      <c r="H37">
        <v>22000</v>
      </c>
      <c r="I37">
        <v>132000</v>
      </c>
    </row>
    <row r="38" spans="1:9">
      <c r="A38">
        <v>1035</v>
      </c>
      <c r="B38" s="4">
        <v>46269</v>
      </c>
      <c r="C38" s="4" t="str">
        <f t="shared" si="0"/>
        <v>September</v>
      </c>
      <c r="D38" t="s">
        <v>77</v>
      </c>
      <c r="E38" t="s">
        <v>72</v>
      </c>
      <c r="F38" t="s">
        <v>78</v>
      </c>
      <c r="G38">
        <v>9</v>
      </c>
      <c r="H38">
        <v>18000</v>
      </c>
      <c r="I38">
        <v>162000</v>
      </c>
    </row>
    <row r="39" spans="1:9">
      <c r="A39">
        <v>1036</v>
      </c>
      <c r="B39" s="4">
        <v>46270</v>
      </c>
      <c r="C39" s="4" t="str">
        <f t="shared" si="0"/>
        <v>September</v>
      </c>
      <c r="D39" t="s">
        <v>73</v>
      </c>
      <c r="E39" t="s">
        <v>80</v>
      </c>
      <c r="F39" t="s">
        <v>71</v>
      </c>
      <c r="G39">
        <v>16</v>
      </c>
      <c r="H39">
        <v>2500</v>
      </c>
      <c r="I39">
        <v>40000</v>
      </c>
    </row>
    <row r="40" spans="1:9">
      <c r="A40">
        <v>1037</v>
      </c>
      <c r="B40" s="4">
        <v>46271</v>
      </c>
      <c r="C40" s="4" t="str">
        <f t="shared" si="0"/>
        <v>September</v>
      </c>
      <c r="D40" t="s">
        <v>16</v>
      </c>
      <c r="E40" t="s">
        <v>75</v>
      </c>
      <c r="F40" t="s">
        <v>65</v>
      </c>
      <c r="G40">
        <v>2</v>
      </c>
      <c r="H40">
        <v>55000</v>
      </c>
      <c r="I40">
        <v>110000</v>
      </c>
    </row>
    <row r="41" spans="1:9">
      <c r="A41">
        <v>1038</v>
      </c>
      <c r="B41" s="4">
        <v>46272</v>
      </c>
      <c r="C41" s="4" t="str">
        <f t="shared" si="0"/>
        <v>September</v>
      </c>
      <c r="D41" t="s">
        <v>74</v>
      </c>
      <c r="E41" t="s">
        <v>70</v>
      </c>
      <c r="F41" t="s">
        <v>71</v>
      </c>
      <c r="G41">
        <v>9</v>
      </c>
      <c r="H41">
        <v>22000</v>
      </c>
      <c r="I41">
        <v>198000</v>
      </c>
    </row>
    <row r="42" spans="1:9">
      <c r="A42">
        <v>1039</v>
      </c>
      <c r="B42" s="4">
        <v>46273</v>
      </c>
      <c r="C42" s="4" t="str">
        <f t="shared" si="0"/>
        <v>September</v>
      </c>
      <c r="D42" t="s">
        <v>77</v>
      </c>
      <c r="E42" t="s">
        <v>80</v>
      </c>
      <c r="F42" t="s">
        <v>78</v>
      </c>
      <c r="G42">
        <v>6</v>
      </c>
      <c r="H42">
        <v>18000</v>
      </c>
      <c r="I42">
        <v>108000</v>
      </c>
    </row>
    <row r="43" spans="1:9">
      <c r="A43">
        <v>1040</v>
      </c>
      <c r="B43" s="4">
        <v>46274</v>
      </c>
      <c r="C43" s="4" t="str">
        <f t="shared" si="0"/>
        <v>September</v>
      </c>
      <c r="D43" t="s">
        <v>73</v>
      </c>
      <c r="E43" t="s">
        <v>72</v>
      </c>
      <c r="F43" t="s">
        <v>76</v>
      </c>
      <c r="G43">
        <v>12</v>
      </c>
      <c r="H43">
        <v>2500</v>
      </c>
      <c r="I43">
        <v>30000</v>
      </c>
    </row>
    <row r="44" spans="1:9">
      <c r="A44">
        <v>1041</v>
      </c>
      <c r="B44" s="4">
        <v>46275</v>
      </c>
      <c r="C44" s="4" t="str">
        <f t="shared" si="0"/>
        <v>September</v>
      </c>
      <c r="D44" t="s">
        <v>16</v>
      </c>
      <c r="E44" t="s">
        <v>72</v>
      </c>
      <c r="F44" t="s">
        <v>71</v>
      </c>
      <c r="G44">
        <v>5</v>
      </c>
      <c r="H44">
        <v>55000</v>
      </c>
      <c r="I44">
        <v>275000</v>
      </c>
    </row>
    <row r="45" spans="1:9">
      <c r="A45">
        <v>1042</v>
      </c>
      <c r="B45" s="4">
        <v>46276</v>
      </c>
      <c r="C45" s="4" t="str">
        <f t="shared" si="0"/>
        <v>September</v>
      </c>
      <c r="D45" t="s">
        <v>74</v>
      </c>
      <c r="E45" t="s">
        <v>80</v>
      </c>
      <c r="F45" t="s">
        <v>76</v>
      </c>
      <c r="G45">
        <v>4</v>
      </c>
      <c r="H45">
        <v>22000</v>
      </c>
      <c r="I45">
        <v>88000</v>
      </c>
    </row>
    <row r="46" spans="1:9">
      <c r="A46">
        <v>1043</v>
      </c>
      <c r="B46" s="4">
        <v>46277</v>
      </c>
      <c r="C46" s="4" t="str">
        <f t="shared" si="0"/>
        <v>September</v>
      </c>
      <c r="D46" t="s">
        <v>77</v>
      </c>
      <c r="E46" t="s">
        <v>70</v>
      </c>
      <c r="F46" t="s">
        <v>65</v>
      </c>
      <c r="G46">
        <v>7</v>
      </c>
      <c r="H46">
        <v>18000</v>
      </c>
      <c r="I46">
        <v>126000</v>
      </c>
    </row>
    <row r="47" spans="1:9">
      <c r="A47">
        <v>1044</v>
      </c>
      <c r="B47" s="4">
        <v>46278</v>
      </c>
      <c r="C47" s="4" t="str">
        <f t="shared" si="0"/>
        <v>September</v>
      </c>
      <c r="D47" t="s">
        <v>73</v>
      </c>
      <c r="E47" t="s">
        <v>75</v>
      </c>
      <c r="F47" t="s">
        <v>78</v>
      </c>
      <c r="G47">
        <v>18</v>
      </c>
      <c r="H47">
        <v>2500</v>
      </c>
      <c r="I47">
        <v>45000</v>
      </c>
    </row>
    <row r="48" spans="1:9">
      <c r="A48">
        <v>1045</v>
      </c>
      <c r="B48" s="4">
        <v>46279</v>
      </c>
      <c r="C48" s="4" t="str">
        <f t="shared" si="0"/>
        <v>September</v>
      </c>
      <c r="D48" t="s">
        <v>16</v>
      </c>
      <c r="E48" t="s">
        <v>80</v>
      </c>
      <c r="F48" t="s">
        <v>78</v>
      </c>
      <c r="G48">
        <v>3</v>
      </c>
      <c r="H48">
        <v>55000</v>
      </c>
      <c r="I48">
        <v>165000</v>
      </c>
    </row>
    <row r="49" spans="1:9">
      <c r="A49">
        <v>1046</v>
      </c>
      <c r="B49" s="4">
        <v>46280</v>
      </c>
      <c r="C49" s="4" t="str">
        <f t="shared" si="0"/>
        <v>September</v>
      </c>
      <c r="D49" t="s">
        <v>74</v>
      </c>
      <c r="E49" t="s">
        <v>72</v>
      </c>
      <c r="F49" t="s">
        <v>65</v>
      </c>
      <c r="G49">
        <v>8</v>
      </c>
      <c r="H49">
        <v>22000</v>
      </c>
      <c r="I49">
        <v>176000</v>
      </c>
    </row>
    <row r="50" spans="1:9">
      <c r="A50">
        <v>1047</v>
      </c>
      <c r="B50" s="4">
        <v>46281</v>
      </c>
      <c r="C50" s="4" t="str">
        <f t="shared" si="0"/>
        <v>September</v>
      </c>
      <c r="D50" t="s">
        <v>77</v>
      </c>
      <c r="E50" t="s">
        <v>75</v>
      </c>
      <c r="F50" t="s">
        <v>71</v>
      </c>
      <c r="G50">
        <v>6</v>
      </c>
      <c r="H50">
        <v>18000</v>
      </c>
      <c r="I50">
        <v>108000</v>
      </c>
    </row>
    <row r="51" spans="1:9">
      <c r="A51">
        <v>1048</v>
      </c>
      <c r="B51" s="4">
        <v>46282</v>
      </c>
      <c r="C51" s="4" t="str">
        <f t="shared" si="0"/>
        <v>September</v>
      </c>
      <c r="D51" t="s">
        <v>73</v>
      </c>
      <c r="E51" t="s">
        <v>70</v>
      </c>
      <c r="F51" t="s">
        <v>76</v>
      </c>
      <c r="G51">
        <v>10</v>
      </c>
      <c r="H51">
        <v>2500</v>
      </c>
      <c r="I51">
        <v>25000</v>
      </c>
    </row>
    <row r="52" spans="1:9">
      <c r="A52">
        <v>1049</v>
      </c>
      <c r="B52" s="4">
        <v>46283</v>
      </c>
      <c r="C52" s="4" t="str">
        <f t="shared" si="0"/>
        <v>September</v>
      </c>
      <c r="D52" t="s">
        <v>16</v>
      </c>
      <c r="E52" t="s">
        <v>70</v>
      </c>
      <c r="F52" t="s">
        <v>78</v>
      </c>
      <c r="G52">
        <v>4</v>
      </c>
      <c r="H52">
        <v>55000</v>
      </c>
      <c r="I52">
        <v>220000</v>
      </c>
    </row>
    <row r="53" spans="1:9">
      <c r="A53">
        <v>1050</v>
      </c>
      <c r="B53" s="4">
        <v>46284</v>
      </c>
      <c r="C53" s="4" t="str">
        <f t="shared" si="0"/>
        <v>September</v>
      </c>
      <c r="D53" t="s">
        <v>74</v>
      </c>
      <c r="E53" t="s">
        <v>75</v>
      </c>
      <c r="F53" t="s">
        <v>71</v>
      </c>
      <c r="G53">
        <v>7</v>
      </c>
      <c r="H53">
        <v>22000</v>
      </c>
      <c r="I53">
        <v>154000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3A9E-65C4-40B7-ABAC-DC5841AD3A23}">
  <dimension ref="A1:U53"/>
  <sheetViews>
    <sheetView topLeftCell="A5" workbookViewId="0">
      <selection sqref="A1:G1"/>
    </sheetView>
  </sheetViews>
  <sheetFormatPr defaultRowHeight="15"/>
  <cols>
    <col min="2" max="2" width="11.42578125" bestFit="1" customWidth="1"/>
    <col min="11" max="11" width="12.140625" bestFit="1" customWidth="1"/>
    <col min="12" max="12" width="20.42578125" bestFit="1" customWidth="1"/>
    <col min="13" max="13" width="15.85546875" bestFit="1" customWidth="1"/>
    <col min="14" max="14" width="20.42578125" bestFit="1" customWidth="1"/>
    <col min="15" max="15" width="15.85546875" bestFit="1" customWidth="1"/>
    <col min="16" max="16" width="20.42578125" bestFit="1" customWidth="1"/>
    <col min="17" max="17" width="15.85546875" bestFit="1" customWidth="1"/>
    <col min="18" max="18" width="20.42578125" bestFit="1" customWidth="1"/>
    <col min="19" max="19" width="15.85546875" bestFit="1" customWidth="1"/>
    <col min="20" max="20" width="25.7109375" bestFit="1" customWidth="1"/>
    <col min="21" max="22" width="21" bestFit="1" customWidth="1"/>
  </cols>
  <sheetData>
    <row r="1" spans="1:21" ht="18.75">
      <c r="A1" s="5" t="s">
        <v>95</v>
      </c>
      <c r="B1" s="6"/>
      <c r="C1" s="6"/>
      <c r="D1" s="6"/>
      <c r="E1" s="6"/>
      <c r="F1" s="6"/>
      <c r="G1" s="7"/>
      <c r="K1" s="2" t="s">
        <v>64</v>
      </c>
      <c r="L1" t="s">
        <v>90</v>
      </c>
    </row>
    <row r="3" spans="1:21">
      <c r="A3" t="s">
        <v>8</v>
      </c>
      <c r="B3" t="s">
        <v>91</v>
      </c>
      <c r="C3" t="s">
        <v>92</v>
      </c>
      <c r="D3" t="s">
        <v>1</v>
      </c>
      <c r="E3" t="s">
        <v>66</v>
      </c>
      <c r="F3" t="s">
        <v>64</v>
      </c>
      <c r="G3" t="s">
        <v>9</v>
      </c>
      <c r="H3" t="s">
        <v>10</v>
      </c>
      <c r="I3" t="s">
        <v>67</v>
      </c>
      <c r="L3" s="2" t="s">
        <v>66</v>
      </c>
      <c r="M3" s="2" t="s">
        <v>96</v>
      </c>
    </row>
    <row r="4" spans="1:21">
      <c r="A4">
        <v>1001</v>
      </c>
      <c r="B4" s="4">
        <v>46235</v>
      </c>
      <c r="C4" s="4" t="str">
        <f>TEXT(B4,"mmmm")</f>
        <v>August</v>
      </c>
      <c r="D4" t="s">
        <v>16</v>
      </c>
      <c r="E4" t="s">
        <v>70</v>
      </c>
      <c r="F4" t="s">
        <v>71</v>
      </c>
      <c r="G4">
        <v>3</v>
      </c>
      <c r="H4">
        <v>55000</v>
      </c>
      <c r="I4">
        <v>165000</v>
      </c>
      <c r="L4" t="s">
        <v>72</v>
      </c>
      <c r="N4" t="s">
        <v>70</v>
      </c>
      <c r="P4" t="s">
        <v>75</v>
      </c>
      <c r="R4" t="s">
        <v>80</v>
      </c>
      <c r="T4" t="s">
        <v>97</v>
      </c>
      <c r="U4" t="s">
        <v>98</v>
      </c>
    </row>
    <row r="5" spans="1:21">
      <c r="A5">
        <v>1002</v>
      </c>
      <c r="B5" s="4">
        <v>46236</v>
      </c>
      <c r="C5" s="4" t="str">
        <f t="shared" ref="C5:C53" si="0">TEXT(B5,"mmmm")</f>
        <v>August</v>
      </c>
      <c r="D5" t="s">
        <v>74</v>
      </c>
      <c r="E5" t="s">
        <v>75</v>
      </c>
      <c r="F5" t="s">
        <v>76</v>
      </c>
      <c r="G5">
        <v>5</v>
      </c>
      <c r="H5">
        <v>22000</v>
      </c>
      <c r="I5">
        <v>110000</v>
      </c>
      <c r="K5" s="2" t="s">
        <v>1</v>
      </c>
      <c r="L5" t="s">
        <v>68</v>
      </c>
      <c r="M5" t="s">
        <v>69</v>
      </c>
      <c r="N5" t="s">
        <v>68</v>
      </c>
      <c r="O5" t="s">
        <v>69</v>
      </c>
      <c r="P5" t="s">
        <v>68</v>
      </c>
      <c r="Q5" t="s">
        <v>69</v>
      </c>
      <c r="R5" t="s">
        <v>68</v>
      </c>
      <c r="S5" t="s">
        <v>69</v>
      </c>
    </row>
    <row r="6" spans="1:21">
      <c r="A6">
        <v>1003</v>
      </c>
      <c r="B6" s="4">
        <v>46237</v>
      </c>
      <c r="C6" s="4" t="str">
        <f t="shared" si="0"/>
        <v>August</v>
      </c>
      <c r="D6" t="s">
        <v>77</v>
      </c>
      <c r="E6" t="s">
        <v>72</v>
      </c>
      <c r="F6" t="s">
        <v>78</v>
      </c>
      <c r="G6">
        <v>4</v>
      </c>
      <c r="H6">
        <v>18000</v>
      </c>
      <c r="I6">
        <v>72000</v>
      </c>
      <c r="K6" t="s">
        <v>73</v>
      </c>
      <c r="L6" s="3">
        <v>82500</v>
      </c>
      <c r="M6" s="3">
        <v>33</v>
      </c>
      <c r="N6" s="3">
        <v>80000</v>
      </c>
      <c r="O6" s="3">
        <v>32</v>
      </c>
      <c r="P6" s="3">
        <v>110000</v>
      </c>
      <c r="Q6" s="3">
        <v>44</v>
      </c>
      <c r="R6" s="3">
        <v>97500</v>
      </c>
      <c r="S6" s="3">
        <v>39</v>
      </c>
      <c r="T6" s="3">
        <v>370000</v>
      </c>
      <c r="U6" s="3">
        <v>148</v>
      </c>
    </row>
    <row r="7" spans="1:21">
      <c r="A7">
        <v>1004</v>
      </c>
      <c r="B7" s="4">
        <v>46238</v>
      </c>
      <c r="C7" s="4" t="str">
        <f t="shared" si="0"/>
        <v>August</v>
      </c>
      <c r="D7" t="s">
        <v>73</v>
      </c>
      <c r="E7" t="s">
        <v>80</v>
      </c>
      <c r="F7" t="s">
        <v>65</v>
      </c>
      <c r="G7">
        <v>8</v>
      </c>
      <c r="H7">
        <v>2500</v>
      </c>
      <c r="I7">
        <v>20000</v>
      </c>
      <c r="K7" t="s">
        <v>16</v>
      </c>
      <c r="L7" s="3">
        <v>605000</v>
      </c>
      <c r="M7" s="3">
        <v>11</v>
      </c>
      <c r="N7" s="3">
        <v>825000</v>
      </c>
      <c r="O7" s="3">
        <v>15</v>
      </c>
      <c r="P7" s="3">
        <v>385000</v>
      </c>
      <c r="Q7" s="3">
        <v>7</v>
      </c>
      <c r="R7" s="3">
        <v>495000</v>
      </c>
      <c r="S7" s="3">
        <v>9</v>
      </c>
      <c r="T7" s="3">
        <v>2310000</v>
      </c>
      <c r="U7" s="3">
        <v>42</v>
      </c>
    </row>
    <row r="8" spans="1:21">
      <c r="A8">
        <v>1005</v>
      </c>
      <c r="B8" s="4">
        <v>46239</v>
      </c>
      <c r="C8" s="4" t="str">
        <f t="shared" si="0"/>
        <v>August</v>
      </c>
      <c r="D8" t="s">
        <v>16</v>
      </c>
      <c r="E8" t="s">
        <v>75</v>
      </c>
      <c r="F8" t="s">
        <v>71</v>
      </c>
      <c r="G8">
        <v>2</v>
      </c>
      <c r="H8">
        <v>55000</v>
      </c>
      <c r="I8">
        <v>110000</v>
      </c>
      <c r="K8" t="s">
        <v>74</v>
      </c>
      <c r="L8" s="3">
        <v>462000</v>
      </c>
      <c r="M8" s="3">
        <v>21</v>
      </c>
      <c r="N8" s="3">
        <v>528000</v>
      </c>
      <c r="O8" s="3">
        <v>24</v>
      </c>
      <c r="P8" s="3">
        <v>484000</v>
      </c>
      <c r="Q8" s="3">
        <v>22</v>
      </c>
      <c r="R8" s="3">
        <v>264000</v>
      </c>
      <c r="S8" s="3">
        <v>12</v>
      </c>
      <c r="T8" s="3">
        <v>1738000</v>
      </c>
      <c r="U8" s="3">
        <v>79</v>
      </c>
    </row>
    <row r="9" spans="1:21">
      <c r="A9">
        <v>1006</v>
      </c>
      <c r="B9" s="4">
        <v>46240</v>
      </c>
      <c r="C9" s="4" t="str">
        <f t="shared" si="0"/>
        <v>August</v>
      </c>
      <c r="D9" t="s">
        <v>74</v>
      </c>
      <c r="E9" t="s">
        <v>70</v>
      </c>
      <c r="F9" t="s">
        <v>78</v>
      </c>
      <c r="G9">
        <v>7</v>
      </c>
      <c r="H9">
        <v>22000</v>
      </c>
      <c r="I9">
        <v>154000</v>
      </c>
      <c r="K9" t="s">
        <v>77</v>
      </c>
      <c r="L9" s="3">
        <v>378000</v>
      </c>
      <c r="M9" s="3">
        <v>21</v>
      </c>
      <c r="N9" s="3">
        <v>324000</v>
      </c>
      <c r="O9" s="3">
        <v>18</v>
      </c>
      <c r="P9" s="3">
        <v>324000</v>
      </c>
      <c r="Q9" s="3">
        <v>18</v>
      </c>
      <c r="R9" s="3">
        <v>288000</v>
      </c>
      <c r="S9" s="3">
        <v>16</v>
      </c>
      <c r="T9" s="3">
        <v>1314000</v>
      </c>
      <c r="U9" s="3">
        <v>73</v>
      </c>
    </row>
    <row r="10" spans="1:21">
      <c r="A10">
        <v>1007</v>
      </c>
      <c r="B10" s="4">
        <v>46241</v>
      </c>
      <c r="C10" s="4" t="str">
        <f t="shared" si="0"/>
        <v>August</v>
      </c>
      <c r="D10" t="s">
        <v>77</v>
      </c>
      <c r="E10" t="s">
        <v>80</v>
      </c>
      <c r="F10" t="s">
        <v>76</v>
      </c>
      <c r="G10">
        <v>6</v>
      </c>
      <c r="H10">
        <v>18000</v>
      </c>
      <c r="I10">
        <v>108000</v>
      </c>
      <c r="K10" t="s">
        <v>84</v>
      </c>
      <c r="L10" s="3">
        <v>1527500</v>
      </c>
      <c r="M10" s="3">
        <v>86</v>
      </c>
      <c r="N10" s="3">
        <v>1757000</v>
      </c>
      <c r="O10" s="3">
        <v>89</v>
      </c>
      <c r="P10" s="3">
        <v>1303000</v>
      </c>
      <c r="Q10" s="3">
        <v>91</v>
      </c>
      <c r="R10" s="3">
        <v>1144500</v>
      </c>
      <c r="S10" s="3">
        <v>76</v>
      </c>
      <c r="T10" s="3">
        <v>5732000</v>
      </c>
      <c r="U10" s="3">
        <v>342</v>
      </c>
    </row>
    <row r="11" spans="1:21">
      <c r="A11">
        <v>1008</v>
      </c>
      <c r="B11" s="4">
        <v>46242</v>
      </c>
      <c r="C11" s="4" t="str">
        <f t="shared" si="0"/>
        <v>August</v>
      </c>
      <c r="D11" t="s">
        <v>73</v>
      </c>
      <c r="E11" t="s">
        <v>72</v>
      </c>
      <c r="F11" t="s">
        <v>65</v>
      </c>
      <c r="G11">
        <v>10</v>
      </c>
      <c r="H11">
        <v>2500</v>
      </c>
      <c r="I11">
        <v>25000</v>
      </c>
    </row>
    <row r="12" spans="1:21">
      <c r="A12">
        <v>1009</v>
      </c>
      <c r="B12" s="4">
        <v>46243</v>
      </c>
      <c r="C12" s="4" t="str">
        <f t="shared" si="0"/>
        <v>August</v>
      </c>
      <c r="D12" t="s">
        <v>16</v>
      </c>
      <c r="E12" t="s">
        <v>72</v>
      </c>
      <c r="F12" t="s">
        <v>78</v>
      </c>
      <c r="G12">
        <v>4</v>
      </c>
      <c r="H12">
        <v>55000</v>
      </c>
      <c r="I12">
        <v>220000</v>
      </c>
    </row>
    <row r="13" spans="1:21">
      <c r="A13">
        <v>1010</v>
      </c>
      <c r="B13" s="4">
        <v>46244</v>
      </c>
      <c r="C13" s="4" t="str">
        <f t="shared" si="0"/>
        <v>August</v>
      </c>
      <c r="D13" t="s">
        <v>74</v>
      </c>
      <c r="E13" t="s">
        <v>80</v>
      </c>
      <c r="F13" t="s">
        <v>71</v>
      </c>
      <c r="G13">
        <v>3</v>
      </c>
      <c r="H13">
        <v>22000</v>
      </c>
      <c r="I13">
        <v>66000</v>
      </c>
    </row>
    <row r="14" spans="1:21">
      <c r="A14">
        <v>1011</v>
      </c>
      <c r="B14" s="4">
        <v>46245</v>
      </c>
      <c r="C14" s="4" t="str">
        <f t="shared" si="0"/>
        <v>August</v>
      </c>
      <c r="D14" t="s">
        <v>77</v>
      </c>
      <c r="E14" t="s">
        <v>70</v>
      </c>
      <c r="F14" t="s">
        <v>65</v>
      </c>
      <c r="G14">
        <v>5</v>
      </c>
      <c r="H14">
        <v>18000</v>
      </c>
      <c r="I14">
        <v>90000</v>
      </c>
    </row>
    <row r="15" spans="1:21">
      <c r="A15">
        <v>1012</v>
      </c>
      <c r="B15" s="4">
        <v>46246</v>
      </c>
      <c r="C15" s="4" t="str">
        <f t="shared" si="0"/>
        <v>August</v>
      </c>
      <c r="D15" t="s">
        <v>73</v>
      </c>
      <c r="E15" t="s">
        <v>75</v>
      </c>
      <c r="F15" t="s">
        <v>76</v>
      </c>
      <c r="G15">
        <v>12</v>
      </c>
      <c r="H15">
        <v>2500</v>
      </c>
      <c r="I15">
        <v>30000</v>
      </c>
    </row>
    <row r="16" spans="1:21">
      <c r="A16">
        <v>1013</v>
      </c>
      <c r="B16" s="4">
        <v>46247</v>
      </c>
      <c r="C16" s="4" t="str">
        <f t="shared" si="0"/>
        <v>August</v>
      </c>
      <c r="D16" t="s">
        <v>16</v>
      </c>
      <c r="E16" t="s">
        <v>80</v>
      </c>
      <c r="F16" t="s">
        <v>76</v>
      </c>
      <c r="G16">
        <v>2</v>
      </c>
      <c r="H16">
        <v>55000</v>
      </c>
      <c r="I16">
        <v>110000</v>
      </c>
    </row>
    <row r="17" spans="1:9">
      <c r="A17">
        <v>1014</v>
      </c>
      <c r="B17" s="4">
        <v>46248</v>
      </c>
      <c r="C17" s="4" t="str">
        <f t="shared" si="0"/>
        <v>August</v>
      </c>
      <c r="D17" t="s">
        <v>74</v>
      </c>
      <c r="E17" t="s">
        <v>72</v>
      </c>
      <c r="F17" t="s">
        <v>65</v>
      </c>
      <c r="G17">
        <v>6</v>
      </c>
      <c r="H17">
        <v>22000</v>
      </c>
      <c r="I17">
        <v>132000</v>
      </c>
    </row>
    <row r="18" spans="1:9">
      <c r="A18">
        <v>1015</v>
      </c>
      <c r="B18" s="4">
        <v>46249</v>
      </c>
      <c r="C18" s="4" t="str">
        <f t="shared" si="0"/>
        <v>August</v>
      </c>
      <c r="D18" t="s">
        <v>77</v>
      </c>
      <c r="E18" t="s">
        <v>75</v>
      </c>
      <c r="F18" t="s">
        <v>71</v>
      </c>
      <c r="G18">
        <v>7</v>
      </c>
      <c r="H18">
        <v>18000</v>
      </c>
      <c r="I18">
        <v>126000</v>
      </c>
    </row>
    <row r="19" spans="1:9">
      <c r="A19">
        <v>1016</v>
      </c>
      <c r="B19" s="4">
        <v>46250</v>
      </c>
      <c r="C19" s="4" t="str">
        <f t="shared" si="0"/>
        <v>August</v>
      </c>
      <c r="D19" t="s">
        <v>73</v>
      </c>
      <c r="E19" t="s">
        <v>70</v>
      </c>
      <c r="F19" t="s">
        <v>78</v>
      </c>
      <c r="G19">
        <v>9</v>
      </c>
      <c r="H19">
        <v>2500</v>
      </c>
      <c r="I19">
        <v>22500</v>
      </c>
    </row>
    <row r="20" spans="1:9">
      <c r="A20">
        <v>1017</v>
      </c>
      <c r="B20" s="4">
        <v>46251</v>
      </c>
      <c r="C20" s="4" t="str">
        <f t="shared" si="0"/>
        <v>August</v>
      </c>
      <c r="D20" t="s">
        <v>16</v>
      </c>
      <c r="E20" t="s">
        <v>70</v>
      </c>
      <c r="F20" t="s">
        <v>65</v>
      </c>
      <c r="G20">
        <v>5</v>
      </c>
      <c r="H20">
        <v>55000</v>
      </c>
      <c r="I20">
        <v>275000</v>
      </c>
    </row>
    <row r="21" spans="1:9">
      <c r="A21">
        <v>1018</v>
      </c>
      <c r="B21" s="4">
        <v>46252</v>
      </c>
      <c r="C21" s="4" t="str">
        <f t="shared" si="0"/>
        <v>August</v>
      </c>
      <c r="D21" t="s">
        <v>74</v>
      </c>
      <c r="E21" t="s">
        <v>75</v>
      </c>
      <c r="F21" t="s">
        <v>78</v>
      </c>
      <c r="G21">
        <v>4</v>
      </c>
      <c r="H21">
        <v>22000</v>
      </c>
      <c r="I21">
        <v>88000</v>
      </c>
    </row>
    <row r="22" spans="1:9">
      <c r="A22">
        <v>1019</v>
      </c>
      <c r="B22" s="4">
        <v>46253</v>
      </c>
      <c r="C22" s="4" t="str">
        <f t="shared" si="0"/>
        <v>August</v>
      </c>
      <c r="D22" t="s">
        <v>77</v>
      </c>
      <c r="E22" t="s">
        <v>72</v>
      </c>
      <c r="F22" t="s">
        <v>71</v>
      </c>
      <c r="G22">
        <v>8</v>
      </c>
      <c r="H22">
        <v>18000</v>
      </c>
      <c r="I22">
        <v>144000</v>
      </c>
    </row>
    <row r="23" spans="1:9">
      <c r="A23">
        <v>1020</v>
      </c>
      <c r="B23" s="4">
        <v>46254</v>
      </c>
      <c r="C23" s="4" t="str">
        <f t="shared" si="0"/>
        <v>August</v>
      </c>
      <c r="D23" t="s">
        <v>73</v>
      </c>
      <c r="E23" t="s">
        <v>80</v>
      </c>
      <c r="F23" t="s">
        <v>76</v>
      </c>
      <c r="G23">
        <v>15</v>
      </c>
      <c r="H23">
        <v>2500</v>
      </c>
      <c r="I23">
        <v>37500</v>
      </c>
    </row>
    <row r="24" spans="1:9">
      <c r="A24">
        <v>1021</v>
      </c>
      <c r="B24" s="4">
        <v>46255</v>
      </c>
      <c r="C24" s="4" t="str">
        <f t="shared" si="0"/>
        <v>August</v>
      </c>
      <c r="D24" t="s">
        <v>16</v>
      </c>
      <c r="E24" t="s">
        <v>75</v>
      </c>
      <c r="F24" t="s">
        <v>78</v>
      </c>
      <c r="G24">
        <v>3</v>
      </c>
      <c r="H24">
        <v>55000</v>
      </c>
      <c r="I24">
        <v>165000</v>
      </c>
    </row>
    <row r="25" spans="1:9">
      <c r="A25">
        <v>1022</v>
      </c>
      <c r="B25" s="4">
        <v>46256</v>
      </c>
      <c r="C25" s="4" t="str">
        <f t="shared" si="0"/>
        <v>August</v>
      </c>
      <c r="D25" t="s">
        <v>74</v>
      </c>
      <c r="E25" t="s">
        <v>70</v>
      </c>
      <c r="F25" t="s">
        <v>76</v>
      </c>
      <c r="G25">
        <v>8</v>
      </c>
      <c r="H25">
        <v>22000</v>
      </c>
      <c r="I25">
        <v>176000</v>
      </c>
    </row>
    <row r="26" spans="1:9">
      <c r="A26">
        <v>1023</v>
      </c>
      <c r="B26" s="4">
        <v>46257</v>
      </c>
      <c r="C26" s="4" t="str">
        <f t="shared" si="0"/>
        <v>August</v>
      </c>
      <c r="D26" t="s">
        <v>77</v>
      </c>
      <c r="E26" t="s">
        <v>80</v>
      </c>
      <c r="F26" t="s">
        <v>65</v>
      </c>
      <c r="G26">
        <v>4</v>
      </c>
      <c r="H26">
        <v>18000</v>
      </c>
      <c r="I26">
        <v>72000</v>
      </c>
    </row>
    <row r="27" spans="1:9">
      <c r="A27">
        <v>1024</v>
      </c>
      <c r="B27" s="4">
        <v>46258</v>
      </c>
      <c r="C27" s="4" t="str">
        <f t="shared" si="0"/>
        <v>August</v>
      </c>
      <c r="D27" t="s">
        <v>73</v>
      </c>
      <c r="E27" t="s">
        <v>72</v>
      </c>
      <c r="F27" t="s">
        <v>71</v>
      </c>
      <c r="G27">
        <v>11</v>
      </c>
      <c r="H27">
        <v>2500</v>
      </c>
      <c r="I27">
        <v>27500</v>
      </c>
    </row>
    <row r="28" spans="1:9">
      <c r="A28">
        <v>1025</v>
      </c>
      <c r="B28" s="4">
        <v>46259</v>
      </c>
      <c r="C28" s="4" t="str">
        <f t="shared" si="0"/>
        <v>August</v>
      </c>
      <c r="D28" t="s">
        <v>16</v>
      </c>
      <c r="E28" t="s">
        <v>72</v>
      </c>
      <c r="F28" t="s">
        <v>76</v>
      </c>
      <c r="G28">
        <v>2</v>
      </c>
      <c r="H28">
        <v>55000</v>
      </c>
      <c r="I28">
        <v>110000</v>
      </c>
    </row>
    <row r="29" spans="1:9">
      <c r="A29">
        <v>1026</v>
      </c>
      <c r="B29" s="4">
        <v>46260</v>
      </c>
      <c r="C29" s="4" t="str">
        <f t="shared" si="0"/>
        <v>August</v>
      </c>
      <c r="D29" t="s">
        <v>74</v>
      </c>
      <c r="E29" t="s">
        <v>80</v>
      </c>
      <c r="F29" t="s">
        <v>78</v>
      </c>
      <c r="G29">
        <v>5</v>
      </c>
      <c r="H29">
        <v>22000</v>
      </c>
      <c r="I29">
        <v>110000</v>
      </c>
    </row>
    <row r="30" spans="1:9">
      <c r="A30">
        <v>1027</v>
      </c>
      <c r="B30" s="4">
        <v>46261</v>
      </c>
      <c r="C30" s="4" t="str">
        <f t="shared" si="0"/>
        <v>August</v>
      </c>
      <c r="D30" t="s">
        <v>77</v>
      </c>
      <c r="E30" t="s">
        <v>70</v>
      </c>
      <c r="F30" t="s">
        <v>71</v>
      </c>
      <c r="G30">
        <v>6</v>
      </c>
      <c r="H30">
        <v>18000</v>
      </c>
      <c r="I30">
        <v>108000</v>
      </c>
    </row>
    <row r="31" spans="1:9">
      <c r="A31">
        <v>1028</v>
      </c>
      <c r="B31" s="4">
        <v>46262</v>
      </c>
      <c r="C31" s="4" t="str">
        <f t="shared" si="0"/>
        <v>August</v>
      </c>
      <c r="D31" t="s">
        <v>73</v>
      </c>
      <c r="E31" t="s">
        <v>75</v>
      </c>
      <c r="F31" t="s">
        <v>65</v>
      </c>
      <c r="G31">
        <v>14</v>
      </c>
      <c r="H31">
        <v>2500</v>
      </c>
      <c r="I31">
        <v>35000</v>
      </c>
    </row>
    <row r="32" spans="1:9">
      <c r="A32">
        <v>1029</v>
      </c>
      <c r="B32" s="4">
        <v>46263</v>
      </c>
      <c r="C32" s="4" t="str">
        <f t="shared" si="0"/>
        <v>August</v>
      </c>
      <c r="D32" t="s">
        <v>16</v>
      </c>
      <c r="E32" t="s">
        <v>80</v>
      </c>
      <c r="F32" t="s">
        <v>65</v>
      </c>
      <c r="G32">
        <v>4</v>
      </c>
      <c r="H32">
        <v>55000</v>
      </c>
      <c r="I32">
        <v>220000</v>
      </c>
    </row>
    <row r="33" spans="1:9">
      <c r="A33">
        <v>1030</v>
      </c>
      <c r="B33" s="4">
        <v>46264</v>
      </c>
      <c r="C33" s="4" t="str">
        <f t="shared" si="0"/>
        <v>August</v>
      </c>
      <c r="D33" t="s">
        <v>74</v>
      </c>
      <c r="E33" t="s">
        <v>72</v>
      </c>
      <c r="F33" t="s">
        <v>71</v>
      </c>
      <c r="G33">
        <v>7</v>
      </c>
      <c r="H33">
        <v>22000</v>
      </c>
      <c r="I33">
        <v>154000</v>
      </c>
    </row>
    <row r="34" spans="1:9">
      <c r="A34">
        <v>1031</v>
      </c>
      <c r="B34" s="4">
        <v>46265</v>
      </c>
      <c r="C34" s="4" t="str">
        <f t="shared" si="0"/>
        <v>August</v>
      </c>
      <c r="D34" t="s">
        <v>77</v>
      </c>
      <c r="E34" t="s">
        <v>75</v>
      </c>
      <c r="F34" t="s">
        <v>76</v>
      </c>
      <c r="G34">
        <v>5</v>
      </c>
      <c r="H34">
        <v>18000</v>
      </c>
      <c r="I34">
        <v>90000</v>
      </c>
    </row>
    <row r="35" spans="1:9">
      <c r="A35">
        <v>1032</v>
      </c>
      <c r="B35" s="4">
        <v>46266</v>
      </c>
      <c r="C35" s="4" t="str">
        <f t="shared" si="0"/>
        <v>September</v>
      </c>
      <c r="D35" t="s">
        <v>73</v>
      </c>
      <c r="E35" t="s">
        <v>70</v>
      </c>
      <c r="F35" t="s">
        <v>78</v>
      </c>
      <c r="G35">
        <v>13</v>
      </c>
      <c r="H35">
        <v>2500</v>
      </c>
      <c r="I35">
        <v>32500</v>
      </c>
    </row>
    <row r="36" spans="1:9">
      <c r="A36">
        <v>1033</v>
      </c>
      <c r="B36" s="4">
        <v>46267</v>
      </c>
      <c r="C36" s="4" t="str">
        <f t="shared" si="0"/>
        <v>September</v>
      </c>
      <c r="D36" t="s">
        <v>16</v>
      </c>
      <c r="E36" t="s">
        <v>70</v>
      </c>
      <c r="F36" t="s">
        <v>76</v>
      </c>
      <c r="G36">
        <v>3</v>
      </c>
      <c r="H36">
        <v>55000</v>
      </c>
      <c r="I36">
        <v>165000</v>
      </c>
    </row>
    <row r="37" spans="1:9">
      <c r="A37">
        <v>1034</v>
      </c>
      <c r="B37" s="4">
        <v>46268</v>
      </c>
      <c r="C37" s="4" t="str">
        <f t="shared" si="0"/>
        <v>September</v>
      </c>
      <c r="D37" t="s">
        <v>74</v>
      </c>
      <c r="E37" t="s">
        <v>75</v>
      </c>
      <c r="F37" t="s">
        <v>65</v>
      </c>
      <c r="G37">
        <v>6</v>
      </c>
      <c r="H37">
        <v>22000</v>
      </c>
      <c r="I37">
        <v>132000</v>
      </c>
    </row>
    <row r="38" spans="1:9">
      <c r="A38">
        <v>1035</v>
      </c>
      <c r="B38" s="4">
        <v>46269</v>
      </c>
      <c r="C38" s="4" t="str">
        <f t="shared" si="0"/>
        <v>September</v>
      </c>
      <c r="D38" t="s">
        <v>77</v>
      </c>
      <c r="E38" t="s">
        <v>72</v>
      </c>
      <c r="F38" t="s">
        <v>78</v>
      </c>
      <c r="G38">
        <v>9</v>
      </c>
      <c r="H38">
        <v>18000</v>
      </c>
      <c r="I38">
        <v>162000</v>
      </c>
    </row>
    <row r="39" spans="1:9">
      <c r="A39">
        <v>1036</v>
      </c>
      <c r="B39" s="4">
        <v>46270</v>
      </c>
      <c r="C39" s="4" t="str">
        <f t="shared" si="0"/>
        <v>September</v>
      </c>
      <c r="D39" t="s">
        <v>73</v>
      </c>
      <c r="E39" t="s">
        <v>80</v>
      </c>
      <c r="F39" t="s">
        <v>71</v>
      </c>
      <c r="G39">
        <v>16</v>
      </c>
      <c r="H39">
        <v>2500</v>
      </c>
      <c r="I39">
        <v>40000</v>
      </c>
    </row>
    <row r="40" spans="1:9">
      <c r="A40">
        <v>1037</v>
      </c>
      <c r="B40" s="4">
        <v>46271</v>
      </c>
      <c r="C40" s="4" t="str">
        <f t="shared" si="0"/>
        <v>September</v>
      </c>
      <c r="D40" t="s">
        <v>16</v>
      </c>
      <c r="E40" t="s">
        <v>75</v>
      </c>
      <c r="F40" t="s">
        <v>65</v>
      </c>
      <c r="G40">
        <v>2</v>
      </c>
      <c r="H40">
        <v>55000</v>
      </c>
      <c r="I40">
        <v>110000</v>
      </c>
    </row>
    <row r="41" spans="1:9">
      <c r="A41">
        <v>1038</v>
      </c>
      <c r="B41" s="4">
        <v>46272</v>
      </c>
      <c r="C41" s="4" t="str">
        <f t="shared" si="0"/>
        <v>September</v>
      </c>
      <c r="D41" t="s">
        <v>74</v>
      </c>
      <c r="E41" t="s">
        <v>70</v>
      </c>
      <c r="F41" t="s">
        <v>71</v>
      </c>
      <c r="G41">
        <v>9</v>
      </c>
      <c r="H41">
        <v>22000</v>
      </c>
      <c r="I41">
        <v>198000</v>
      </c>
    </row>
    <row r="42" spans="1:9">
      <c r="A42">
        <v>1039</v>
      </c>
      <c r="B42" s="4">
        <v>46273</v>
      </c>
      <c r="C42" s="4" t="str">
        <f t="shared" si="0"/>
        <v>September</v>
      </c>
      <c r="D42" t="s">
        <v>77</v>
      </c>
      <c r="E42" t="s">
        <v>80</v>
      </c>
      <c r="F42" t="s">
        <v>78</v>
      </c>
      <c r="G42">
        <v>6</v>
      </c>
      <c r="H42">
        <v>18000</v>
      </c>
      <c r="I42">
        <v>108000</v>
      </c>
    </row>
    <row r="43" spans="1:9">
      <c r="A43">
        <v>1040</v>
      </c>
      <c r="B43" s="4">
        <v>46274</v>
      </c>
      <c r="C43" s="4" t="str">
        <f t="shared" si="0"/>
        <v>September</v>
      </c>
      <c r="D43" t="s">
        <v>73</v>
      </c>
      <c r="E43" t="s">
        <v>72</v>
      </c>
      <c r="F43" t="s">
        <v>76</v>
      </c>
      <c r="G43">
        <v>12</v>
      </c>
      <c r="H43">
        <v>2500</v>
      </c>
      <c r="I43">
        <v>30000</v>
      </c>
    </row>
    <row r="44" spans="1:9">
      <c r="A44">
        <v>1041</v>
      </c>
      <c r="B44" s="4">
        <v>46275</v>
      </c>
      <c r="C44" s="4" t="str">
        <f t="shared" si="0"/>
        <v>September</v>
      </c>
      <c r="D44" t="s">
        <v>16</v>
      </c>
      <c r="E44" t="s">
        <v>72</v>
      </c>
      <c r="F44" t="s">
        <v>71</v>
      </c>
      <c r="G44">
        <v>5</v>
      </c>
      <c r="H44">
        <v>55000</v>
      </c>
      <c r="I44">
        <v>275000</v>
      </c>
    </row>
    <row r="45" spans="1:9">
      <c r="A45">
        <v>1042</v>
      </c>
      <c r="B45" s="4">
        <v>46276</v>
      </c>
      <c r="C45" s="4" t="str">
        <f t="shared" si="0"/>
        <v>September</v>
      </c>
      <c r="D45" t="s">
        <v>74</v>
      </c>
      <c r="E45" t="s">
        <v>80</v>
      </c>
      <c r="F45" t="s">
        <v>76</v>
      </c>
      <c r="G45">
        <v>4</v>
      </c>
      <c r="H45">
        <v>22000</v>
      </c>
      <c r="I45">
        <v>88000</v>
      </c>
    </row>
    <row r="46" spans="1:9">
      <c r="A46">
        <v>1043</v>
      </c>
      <c r="B46" s="4">
        <v>46277</v>
      </c>
      <c r="C46" s="4" t="str">
        <f t="shared" si="0"/>
        <v>September</v>
      </c>
      <c r="D46" t="s">
        <v>77</v>
      </c>
      <c r="E46" t="s">
        <v>70</v>
      </c>
      <c r="F46" t="s">
        <v>65</v>
      </c>
      <c r="G46">
        <v>7</v>
      </c>
      <c r="H46">
        <v>18000</v>
      </c>
      <c r="I46">
        <v>126000</v>
      </c>
    </row>
    <row r="47" spans="1:9">
      <c r="A47">
        <v>1044</v>
      </c>
      <c r="B47" s="4">
        <v>46278</v>
      </c>
      <c r="C47" s="4" t="str">
        <f t="shared" si="0"/>
        <v>September</v>
      </c>
      <c r="D47" t="s">
        <v>73</v>
      </c>
      <c r="E47" t="s">
        <v>75</v>
      </c>
      <c r="F47" t="s">
        <v>78</v>
      </c>
      <c r="G47">
        <v>18</v>
      </c>
      <c r="H47">
        <v>2500</v>
      </c>
      <c r="I47">
        <v>45000</v>
      </c>
    </row>
    <row r="48" spans="1:9">
      <c r="A48">
        <v>1045</v>
      </c>
      <c r="B48" s="4">
        <v>46279</v>
      </c>
      <c r="C48" s="4" t="str">
        <f t="shared" si="0"/>
        <v>September</v>
      </c>
      <c r="D48" t="s">
        <v>16</v>
      </c>
      <c r="E48" t="s">
        <v>80</v>
      </c>
      <c r="F48" t="s">
        <v>78</v>
      </c>
      <c r="G48">
        <v>3</v>
      </c>
      <c r="H48">
        <v>55000</v>
      </c>
      <c r="I48">
        <v>165000</v>
      </c>
    </row>
    <row r="49" spans="1:9">
      <c r="A49">
        <v>1046</v>
      </c>
      <c r="B49" s="4">
        <v>46280</v>
      </c>
      <c r="C49" s="4" t="str">
        <f t="shared" si="0"/>
        <v>September</v>
      </c>
      <c r="D49" t="s">
        <v>74</v>
      </c>
      <c r="E49" t="s">
        <v>72</v>
      </c>
      <c r="F49" t="s">
        <v>65</v>
      </c>
      <c r="G49">
        <v>8</v>
      </c>
      <c r="H49">
        <v>22000</v>
      </c>
      <c r="I49">
        <v>176000</v>
      </c>
    </row>
    <row r="50" spans="1:9">
      <c r="A50">
        <v>1047</v>
      </c>
      <c r="B50" s="4">
        <v>46281</v>
      </c>
      <c r="C50" s="4" t="str">
        <f t="shared" si="0"/>
        <v>September</v>
      </c>
      <c r="D50" t="s">
        <v>77</v>
      </c>
      <c r="E50" t="s">
        <v>75</v>
      </c>
      <c r="F50" t="s">
        <v>71</v>
      </c>
      <c r="G50">
        <v>6</v>
      </c>
      <c r="H50">
        <v>18000</v>
      </c>
      <c r="I50">
        <v>108000</v>
      </c>
    </row>
    <row r="51" spans="1:9">
      <c r="A51">
        <v>1048</v>
      </c>
      <c r="B51" s="4">
        <v>46282</v>
      </c>
      <c r="C51" s="4" t="str">
        <f t="shared" si="0"/>
        <v>September</v>
      </c>
      <c r="D51" t="s">
        <v>73</v>
      </c>
      <c r="E51" t="s">
        <v>70</v>
      </c>
      <c r="F51" t="s">
        <v>76</v>
      </c>
      <c r="G51">
        <v>10</v>
      </c>
      <c r="H51">
        <v>2500</v>
      </c>
      <c r="I51">
        <v>25000</v>
      </c>
    </row>
    <row r="52" spans="1:9">
      <c r="A52">
        <v>1049</v>
      </c>
      <c r="B52" s="4">
        <v>46283</v>
      </c>
      <c r="C52" s="4" t="str">
        <f t="shared" si="0"/>
        <v>September</v>
      </c>
      <c r="D52" t="s">
        <v>16</v>
      </c>
      <c r="E52" t="s">
        <v>70</v>
      </c>
      <c r="F52" t="s">
        <v>78</v>
      </c>
      <c r="G52">
        <v>4</v>
      </c>
      <c r="H52">
        <v>55000</v>
      </c>
      <c r="I52">
        <v>220000</v>
      </c>
    </row>
    <row r="53" spans="1:9">
      <c r="A53">
        <v>1050</v>
      </c>
      <c r="B53" s="4">
        <v>46284</v>
      </c>
      <c r="C53" s="4" t="str">
        <f t="shared" si="0"/>
        <v>September</v>
      </c>
      <c r="D53" t="s">
        <v>74</v>
      </c>
      <c r="E53" t="s">
        <v>75</v>
      </c>
      <c r="F53" t="s">
        <v>71</v>
      </c>
      <c r="G53">
        <v>7</v>
      </c>
      <c r="H53">
        <v>22000</v>
      </c>
      <c r="I53">
        <v>154000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DB15-A0AC-4468-ADA3-1FAB32F5A8E2}">
  <dimension ref="A1:P53"/>
  <sheetViews>
    <sheetView tabSelected="1" topLeftCell="B1" workbookViewId="0">
      <selection activeCell="P6" sqref="P6"/>
    </sheetView>
  </sheetViews>
  <sheetFormatPr defaultRowHeight="15"/>
  <cols>
    <col min="2" max="2" width="11.42578125" bestFit="1" customWidth="1"/>
    <col min="12" max="12" width="11.7109375" bestFit="1" customWidth="1"/>
    <col min="13" max="13" width="20.42578125" bestFit="1" customWidth="1"/>
    <col min="15" max="15" width="15" bestFit="1" customWidth="1"/>
    <col min="16" max="16" width="20.42578125" bestFit="1" customWidth="1"/>
  </cols>
  <sheetData>
    <row r="1" spans="1:16" ht="18.75">
      <c r="A1" s="5" t="s">
        <v>99</v>
      </c>
      <c r="B1" s="6"/>
      <c r="C1" s="6"/>
      <c r="D1" s="6"/>
      <c r="E1" s="6"/>
      <c r="F1" s="6"/>
      <c r="G1" s="7"/>
    </row>
    <row r="3" spans="1:16">
      <c r="A3" t="s">
        <v>8</v>
      </c>
      <c r="B3" t="s">
        <v>91</v>
      </c>
      <c r="C3" t="s">
        <v>92</v>
      </c>
      <c r="D3" t="s">
        <v>1</v>
      </c>
      <c r="E3" t="s">
        <v>66</v>
      </c>
      <c r="F3" t="s">
        <v>64</v>
      </c>
      <c r="G3" t="s">
        <v>9</v>
      </c>
      <c r="H3" t="s">
        <v>10</v>
      </c>
      <c r="I3" t="s">
        <v>67</v>
      </c>
      <c r="L3" s="2" t="s">
        <v>1</v>
      </c>
      <c r="M3" t="s">
        <v>68</v>
      </c>
      <c r="O3" s="2" t="s">
        <v>64</v>
      </c>
      <c r="P3" t="s">
        <v>68</v>
      </c>
    </row>
    <row r="4" spans="1:16">
      <c r="A4">
        <v>1001</v>
      </c>
      <c r="B4" s="4">
        <v>46235</v>
      </c>
      <c r="C4" s="4" t="str">
        <f>TEXT(B4,"mmmm")</f>
        <v>August</v>
      </c>
      <c r="D4" t="s">
        <v>16</v>
      </c>
      <c r="E4" t="s">
        <v>70</v>
      </c>
      <c r="F4" t="s">
        <v>71</v>
      </c>
      <c r="G4">
        <v>3</v>
      </c>
      <c r="H4">
        <v>55000</v>
      </c>
      <c r="I4">
        <v>165000</v>
      </c>
      <c r="L4" t="s">
        <v>73</v>
      </c>
      <c r="M4" s="3">
        <v>370000</v>
      </c>
      <c r="O4" t="s">
        <v>78</v>
      </c>
      <c r="P4" s="3">
        <v>1564000</v>
      </c>
    </row>
    <row r="5" spans="1:16">
      <c r="A5">
        <v>1002</v>
      </c>
      <c r="B5" s="4">
        <v>46236</v>
      </c>
      <c r="C5" s="4" t="str">
        <f>TEXT(B5,"mmmm")</f>
        <v>August</v>
      </c>
      <c r="D5" t="s">
        <v>74</v>
      </c>
      <c r="E5" t="s">
        <v>75</v>
      </c>
      <c r="F5" t="s">
        <v>76</v>
      </c>
      <c r="G5">
        <v>5</v>
      </c>
      <c r="H5">
        <v>22000</v>
      </c>
      <c r="I5">
        <v>110000</v>
      </c>
      <c r="L5" t="s">
        <v>16</v>
      </c>
      <c r="M5" s="3">
        <v>2310000</v>
      </c>
      <c r="O5" t="s">
        <v>76</v>
      </c>
      <c r="P5" s="3">
        <v>1079500</v>
      </c>
    </row>
    <row r="6" spans="1:16">
      <c r="A6">
        <v>1003</v>
      </c>
      <c r="B6" s="4">
        <v>46237</v>
      </c>
      <c r="C6" s="4" t="str">
        <f>TEXT(B6,"mmmm")</f>
        <v>August</v>
      </c>
      <c r="D6" t="s">
        <v>77</v>
      </c>
      <c r="E6" t="s">
        <v>72</v>
      </c>
      <c r="F6" t="s">
        <v>78</v>
      </c>
      <c r="G6">
        <v>4</v>
      </c>
      <c r="H6">
        <v>18000</v>
      </c>
      <c r="I6">
        <v>72000</v>
      </c>
      <c r="L6" t="s">
        <v>74</v>
      </c>
      <c r="M6" s="3">
        <v>1738000</v>
      </c>
      <c r="O6" t="s">
        <v>71</v>
      </c>
      <c r="P6" s="3">
        <v>1675500</v>
      </c>
    </row>
    <row r="7" spans="1:16">
      <c r="A7">
        <v>1004</v>
      </c>
      <c r="B7" s="4">
        <v>46238</v>
      </c>
      <c r="C7" s="4" t="str">
        <f>TEXT(B7,"mmmm")</f>
        <v>August</v>
      </c>
      <c r="D7" t="s">
        <v>73</v>
      </c>
      <c r="E7" t="s">
        <v>80</v>
      </c>
      <c r="F7" t="s">
        <v>65</v>
      </c>
      <c r="G7">
        <v>8</v>
      </c>
      <c r="H7">
        <v>2500</v>
      </c>
      <c r="I7">
        <v>20000</v>
      </c>
      <c r="L7" t="s">
        <v>77</v>
      </c>
      <c r="M7" s="3">
        <v>1314000</v>
      </c>
      <c r="O7" t="s">
        <v>65</v>
      </c>
      <c r="P7" s="3">
        <v>1413000</v>
      </c>
    </row>
    <row r="8" spans="1:16">
      <c r="A8">
        <v>1005</v>
      </c>
      <c r="B8" s="4">
        <v>46239</v>
      </c>
      <c r="C8" s="4" t="str">
        <f>TEXT(B8,"mmmm")</f>
        <v>August</v>
      </c>
      <c r="D8" t="s">
        <v>16</v>
      </c>
      <c r="E8" t="s">
        <v>75</v>
      </c>
      <c r="F8" t="s">
        <v>71</v>
      </c>
      <c r="G8">
        <v>2</v>
      </c>
      <c r="H8">
        <v>55000</v>
      </c>
      <c r="I8">
        <v>110000</v>
      </c>
      <c r="L8" t="s">
        <v>84</v>
      </c>
      <c r="M8" s="3">
        <v>5732000</v>
      </c>
      <c r="O8" t="s">
        <v>84</v>
      </c>
      <c r="P8" s="3">
        <v>5732000</v>
      </c>
    </row>
    <row r="9" spans="1:16">
      <c r="A9">
        <v>1006</v>
      </c>
      <c r="B9" s="4">
        <v>46240</v>
      </c>
      <c r="C9" s="4" t="str">
        <f>TEXT(B9,"mmmm")</f>
        <v>August</v>
      </c>
      <c r="D9" t="s">
        <v>74</v>
      </c>
      <c r="E9" t="s">
        <v>70</v>
      </c>
      <c r="F9" t="s">
        <v>78</v>
      </c>
      <c r="G9">
        <v>7</v>
      </c>
      <c r="H9">
        <v>22000</v>
      </c>
      <c r="I9">
        <v>154000</v>
      </c>
    </row>
    <row r="10" spans="1:16">
      <c r="A10">
        <v>1007</v>
      </c>
      <c r="B10" s="4">
        <v>46241</v>
      </c>
      <c r="C10" s="4" t="str">
        <f>TEXT(B10,"mmmm")</f>
        <v>August</v>
      </c>
      <c r="D10" t="s">
        <v>77</v>
      </c>
      <c r="E10" t="s">
        <v>80</v>
      </c>
      <c r="F10" t="s">
        <v>76</v>
      </c>
      <c r="G10">
        <v>6</v>
      </c>
      <c r="H10">
        <v>18000</v>
      </c>
      <c r="I10">
        <v>108000</v>
      </c>
      <c r="L10" s="2" t="s">
        <v>66</v>
      </c>
      <c r="M10" t="s">
        <v>68</v>
      </c>
    </row>
    <row r="11" spans="1:16">
      <c r="A11">
        <v>1008</v>
      </c>
      <c r="B11" s="4">
        <v>46242</v>
      </c>
      <c r="C11" s="4" t="str">
        <f>TEXT(B11,"mmmm")</f>
        <v>August</v>
      </c>
      <c r="D11" t="s">
        <v>73</v>
      </c>
      <c r="E11" t="s">
        <v>72</v>
      </c>
      <c r="F11" t="s">
        <v>65</v>
      </c>
      <c r="G11">
        <v>10</v>
      </c>
      <c r="H11">
        <v>2500</v>
      </c>
      <c r="I11">
        <v>25000</v>
      </c>
      <c r="L11" t="s">
        <v>72</v>
      </c>
      <c r="M11" s="3">
        <v>1527500</v>
      </c>
    </row>
    <row r="12" spans="1:16">
      <c r="A12">
        <v>1009</v>
      </c>
      <c r="B12" s="4">
        <v>46243</v>
      </c>
      <c r="C12" s="4" t="str">
        <f>TEXT(B12,"mmmm")</f>
        <v>August</v>
      </c>
      <c r="D12" t="s">
        <v>16</v>
      </c>
      <c r="E12" t="s">
        <v>72</v>
      </c>
      <c r="F12" t="s">
        <v>78</v>
      </c>
      <c r="G12">
        <v>4</v>
      </c>
      <c r="H12">
        <v>55000</v>
      </c>
      <c r="I12">
        <v>220000</v>
      </c>
      <c r="L12" t="s">
        <v>70</v>
      </c>
      <c r="M12" s="3">
        <v>1757000</v>
      </c>
    </row>
    <row r="13" spans="1:16">
      <c r="A13">
        <v>1010</v>
      </c>
      <c r="B13" s="4">
        <v>46244</v>
      </c>
      <c r="C13" s="4" t="str">
        <f>TEXT(B13,"mmmm")</f>
        <v>August</v>
      </c>
      <c r="D13" t="s">
        <v>74</v>
      </c>
      <c r="E13" t="s">
        <v>80</v>
      </c>
      <c r="F13" t="s">
        <v>71</v>
      </c>
      <c r="G13">
        <v>3</v>
      </c>
      <c r="H13">
        <v>22000</v>
      </c>
      <c r="I13">
        <v>66000</v>
      </c>
      <c r="L13" t="s">
        <v>75</v>
      </c>
      <c r="M13" s="3">
        <v>1303000</v>
      </c>
    </row>
    <row r="14" spans="1:16">
      <c r="A14">
        <v>1011</v>
      </c>
      <c r="B14" s="4">
        <v>46245</v>
      </c>
      <c r="C14" s="4" t="str">
        <f>TEXT(B14,"mmmm")</f>
        <v>August</v>
      </c>
      <c r="D14" t="s">
        <v>77</v>
      </c>
      <c r="E14" t="s">
        <v>70</v>
      </c>
      <c r="F14" t="s">
        <v>65</v>
      </c>
      <c r="G14">
        <v>5</v>
      </c>
      <c r="H14">
        <v>18000</v>
      </c>
      <c r="I14">
        <v>90000</v>
      </c>
      <c r="L14" t="s">
        <v>80</v>
      </c>
      <c r="M14" s="3">
        <v>1144500</v>
      </c>
    </row>
    <row r="15" spans="1:16">
      <c r="A15">
        <v>1012</v>
      </c>
      <c r="B15" s="4">
        <v>46246</v>
      </c>
      <c r="C15" s="4" t="str">
        <f>TEXT(B15,"mmmm")</f>
        <v>August</v>
      </c>
      <c r="D15" t="s">
        <v>73</v>
      </c>
      <c r="E15" t="s">
        <v>75</v>
      </c>
      <c r="F15" t="s">
        <v>76</v>
      </c>
      <c r="G15">
        <v>12</v>
      </c>
      <c r="H15">
        <v>2500</v>
      </c>
      <c r="I15">
        <v>30000</v>
      </c>
      <c r="L15" t="s">
        <v>84</v>
      </c>
      <c r="M15" s="3">
        <v>5732000</v>
      </c>
    </row>
    <row r="16" spans="1:16">
      <c r="A16">
        <v>1013</v>
      </c>
      <c r="B16" s="4">
        <v>46247</v>
      </c>
      <c r="C16" s="4" t="str">
        <f>TEXT(B16,"mmmm")</f>
        <v>August</v>
      </c>
      <c r="D16" t="s">
        <v>16</v>
      </c>
      <c r="E16" t="s">
        <v>80</v>
      </c>
      <c r="F16" t="s">
        <v>76</v>
      </c>
      <c r="G16">
        <v>2</v>
      </c>
      <c r="H16">
        <v>55000</v>
      </c>
      <c r="I16">
        <v>110000</v>
      </c>
    </row>
    <row r="17" spans="1:9">
      <c r="A17">
        <v>1014</v>
      </c>
      <c r="B17" s="4">
        <v>46248</v>
      </c>
      <c r="C17" s="4" t="str">
        <f>TEXT(B17,"mmmm")</f>
        <v>August</v>
      </c>
      <c r="D17" t="s">
        <v>74</v>
      </c>
      <c r="E17" t="s">
        <v>72</v>
      </c>
      <c r="F17" t="s">
        <v>65</v>
      </c>
      <c r="G17">
        <v>6</v>
      </c>
      <c r="H17">
        <v>22000</v>
      </c>
      <c r="I17">
        <v>132000</v>
      </c>
    </row>
    <row r="18" spans="1:9">
      <c r="A18">
        <v>1015</v>
      </c>
      <c r="B18" s="4">
        <v>46249</v>
      </c>
      <c r="C18" s="4" t="str">
        <f>TEXT(B18,"mmmm")</f>
        <v>August</v>
      </c>
      <c r="D18" t="s">
        <v>77</v>
      </c>
      <c r="E18" t="s">
        <v>75</v>
      </c>
      <c r="F18" t="s">
        <v>71</v>
      </c>
      <c r="G18">
        <v>7</v>
      </c>
      <c r="H18">
        <v>18000</v>
      </c>
      <c r="I18">
        <v>126000</v>
      </c>
    </row>
    <row r="19" spans="1:9">
      <c r="A19">
        <v>1016</v>
      </c>
      <c r="B19" s="4">
        <v>46250</v>
      </c>
      <c r="C19" s="4" t="str">
        <f>TEXT(B19,"mmmm")</f>
        <v>August</v>
      </c>
      <c r="D19" t="s">
        <v>73</v>
      </c>
      <c r="E19" t="s">
        <v>70</v>
      </c>
      <c r="F19" t="s">
        <v>78</v>
      </c>
      <c r="G19">
        <v>9</v>
      </c>
      <c r="H19">
        <v>2500</v>
      </c>
      <c r="I19">
        <v>22500</v>
      </c>
    </row>
    <row r="20" spans="1:9">
      <c r="A20">
        <v>1017</v>
      </c>
      <c r="B20" s="4">
        <v>46251</v>
      </c>
      <c r="C20" s="4" t="str">
        <f>TEXT(B20,"mmmm")</f>
        <v>August</v>
      </c>
      <c r="D20" t="s">
        <v>16</v>
      </c>
      <c r="E20" t="s">
        <v>70</v>
      </c>
      <c r="F20" t="s">
        <v>65</v>
      </c>
      <c r="G20">
        <v>5</v>
      </c>
      <c r="H20">
        <v>55000</v>
      </c>
      <c r="I20">
        <v>275000</v>
      </c>
    </row>
    <row r="21" spans="1:9">
      <c r="A21">
        <v>1018</v>
      </c>
      <c r="B21" s="4">
        <v>46252</v>
      </c>
      <c r="C21" s="4" t="str">
        <f>TEXT(B21,"mmmm")</f>
        <v>August</v>
      </c>
      <c r="D21" t="s">
        <v>74</v>
      </c>
      <c r="E21" t="s">
        <v>75</v>
      </c>
      <c r="F21" t="s">
        <v>78</v>
      </c>
      <c r="G21">
        <v>4</v>
      </c>
      <c r="H21">
        <v>22000</v>
      </c>
      <c r="I21">
        <v>88000</v>
      </c>
    </row>
    <row r="22" spans="1:9">
      <c r="A22">
        <v>1019</v>
      </c>
      <c r="B22" s="4">
        <v>46253</v>
      </c>
      <c r="C22" s="4" t="str">
        <f>TEXT(B22,"mmmm")</f>
        <v>August</v>
      </c>
      <c r="D22" t="s">
        <v>77</v>
      </c>
      <c r="E22" t="s">
        <v>72</v>
      </c>
      <c r="F22" t="s">
        <v>71</v>
      </c>
      <c r="G22">
        <v>8</v>
      </c>
      <c r="H22">
        <v>18000</v>
      </c>
      <c r="I22">
        <v>144000</v>
      </c>
    </row>
    <row r="23" spans="1:9">
      <c r="A23">
        <v>1020</v>
      </c>
      <c r="B23" s="4">
        <v>46254</v>
      </c>
      <c r="C23" s="4" t="str">
        <f>TEXT(B23,"mmmm")</f>
        <v>August</v>
      </c>
      <c r="D23" t="s">
        <v>73</v>
      </c>
      <c r="E23" t="s">
        <v>80</v>
      </c>
      <c r="F23" t="s">
        <v>76</v>
      </c>
      <c r="G23">
        <v>15</v>
      </c>
      <c r="H23">
        <v>2500</v>
      </c>
      <c r="I23">
        <v>37500</v>
      </c>
    </row>
    <row r="24" spans="1:9">
      <c r="A24">
        <v>1021</v>
      </c>
      <c r="B24" s="4">
        <v>46255</v>
      </c>
      <c r="C24" s="4" t="str">
        <f>TEXT(B24,"mmmm")</f>
        <v>August</v>
      </c>
      <c r="D24" t="s">
        <v>16</v>
      </c>
      <c r="E24" t="s">
        <v>75</v>
      </c>
      <c r="F24" t="s">
        <v>78</v>
      </c>
      <c r="G24">
        <v>3</v>
      </c>
      <c r="H24">
        <v>55000</v>
      </c>
      <c r="I24">
        <v>165000</v>
      </c>
    </row>
    <row r="25" spans="1:9">
      <c r="A25">
        <v>1022</v>
      </c>
      <c r="B25" s="4">
        <v>46256</v>
      </c>
      <c r="C25" s="4" t="str">
        <f>TEXT(B25,"mmmm")</f>
        <v>August</v>
      </c>
      <c r="D25" t="s">
        <v>74</v>
      </c>
      <c r="E25" t="s">
        <v>70</v>
      </c>
      <c r="F25" t="s">
        <v>76</v>
      </c>
      <c r="G25">
        <v>8</v>
      </c>
      <c r="H25">
        <v>22000</v>
      </c>
      <c r="I25">
        <v>176000</v>
      </c>
    </row>
    <row r="26" spans="1:9">
      <c r="A26">
        <v>1023</v>
      </c>
      <c r="B26" s="4">
        <v>46257</v>
      </c>
      <c r="C26" s="4" t="str">
        <f>TEXT(B26,"mmmm")</f>
        <v>August</v>
      </c>
      <c r="D26" t="s">
        <v>77</v>
      </c>
      <c r="E26" t="s">
        <v>80</v>
      </c>
      <c r="F26" t="s">
        <v>65</v>
      </c>
      <c r="G26">
        <v>4</v>
      </c>
      <c r="H26">
        <v>18000</v>
      </c>
      <c r="I26">
        <v>72000</v>
      </c>
    </row>
    <row r="27" spans="1:9">
      <c r="A27">
        <v>1024</v>
      </c>
      <c r="B27" s="4">
        <v>46258</v>
      </c>
      <c r="C27" s="4" t="str">
        <f>TEXT(B27,"mmmm")</f>
        <v>August</v>
      </c>
      <c r="D27" t="s">
        <v>73</v>
      </c>
      <c r="E27" t="s">
        <v>72</v>
      </c>
      <c r="F27" t="s">
        <v>71</v>
      </c>
      <c r="G27">
        <v>11</v>
      </c>
      <c r="H27">
        <v>2500</v>
      </c>
      <c r="I27">
        <v>27500</v>
      </c>
    </row>
    <row r="28" spans="1:9">
      <c r="A28">
        <v>1025</v>
      </c>
      <c r="B28" s="4">
        <v>46259</v>
      </c>
      <c r="C28" s="4" t="str">
        <f>TEXT(B28,"mmmm")</f>
        <v>August</v>
      </c>
      <c r="D28" t="s">
        <v>16</v>
      </c>
      <c r="E28" t="s">
        <v>72</v>
      </c>
      <c r="F28" t="s">
        <v>76</v>
      </c>
      <c r="G28">
        <v>2</v>
      </c>
      <c r="H28">
        <v>55000</v>
      </c>
      <c r="I28">
        <v>110000</v>
      </c>
    </row>
    <row r="29" spans="1:9">
      <c r="A29">
        <v>1026</v>
      </c>
      <c r="B29" s="4">
        <v>46260</v>
      </c>
      <c r="C29" s="4" t="str">
        <f>TEXT(B29,"mmmm")</f>
        <v>August</v>
      </c>
      <c r="D29" t="s">
        <v>74</v>
      </c>
      <c r="E29" t="s">
        <v>80</v>
      </c>
      <c r="F29" t="s">
        <v>78</v>
      </c>
      <c r="G29">
        <v>5</v>
      </c>
      <c r="H29">
        <v>22000</v>
      </c>
      <c r="I29">
        <v>110000</v>
      </c>
    </row>
    <row r="30" spans="1:9">
      <c r="A30">
        <v>1027</v>
      </c>
      <c r="B30" s="4">
        <v>46261</v>
      </c>
      <c r="C30" s="4" t="str">
        <f>TEXT(B30,"mmmm")</f>
        <v>August</v>
      </c>
      <c r="D30" t="s">
        <v>77</v>
      </c>
      <c r="E30" t="s">
        <v>70</v>
      </c>
      <c r="F30" t="s">
        <v>71</v>
      </c>
      <c r="G30">
        <v>6</v>
      </c>
      <c r="H30">
        <v>18000</v>
      </c>
      <c r="I30">
        <v>108000</v>
      </c>
    </row>
    <row r="31" spans="1:9">
      <c r="A31">
        <v>1028</v>
      </c>
      <c r="B31" s="4">
        <v>46262</v>
      </c>
      <c r="C31" s="4" t="str">
        <f>TEXT(B31,"mmmm")</f>
        <v>August</v>
      </c>
      <c r="D31" t="s">
        <v>73</v>
      </c>
      <c r="E31" t="s">
        <v>75</v>
      </c>
      <c r="F31" t="s">
        <v>65</v>
      </c>
      <c r="G31">
        <v>14</v>
      </c>
      <c r="H31">
        <v>2500</v>
      </c>
      <c r="I31">
        <v>35000</v>
      </c>
    </row>
    <row r="32" spans="1:9">
      <c r="A32">
        <v>1029</v>
      </c>
      <c r="B32" s="4">
        <v>46263</v>
      </c>
      <c r="C32" s="4" t="str">
        <f>TEXT(B32,"mmmm")</f>
        <v>August</v>
      </c>
      <c r="D32" t="s">
        <v>16</v>
      </c>
      <c r="E32" t="s">
        <v>80</v>
      </c>
      <c r="F32" t="s">
        <v>65</v>
      </c>
      <c r="G32">
        <v>4</v>
      </c>
      <c r="H32">
        <v>55000</v>
      </c>
      <c r="I32">
        <v>220000</v>
      </c>
    </row>
    <row r="33" spans="1:9">
      <c r="A33">
        <v>1030</v>
      </c>
      <c r="B33" s="4">
        <v>46264</v>
      </c>
      <c r="C33" s="4" t="str">
        <f>TEXT(B33,"mmmm")</f>
        <v>August</v>
      </c>
      <c r="D33" t="s">
        <v>74</v>
      </c>
      <c r="E33" t="s">
        <v>72</v>
      </c>
      <c r="F33" t="s">
        <v>71</v>
      </c>
      <c r="G33">
        <v>7</v>
      </c>
      <c r="H33">
        <v>22000</v>
      </c>
      <c r="I33">
        <v>154000</v>
      </c>
    </row>
    <row r="34" spans="1:9">
      <c r="A34">
        <v>1031</v>
      </c>
      <c r="B34" s="4">
        <v>46265</v>
      </c>
      <c r="C34" s="4" t="str">
        <f>TEXT(B34,"mmmm")</f>
        <v>August</v>
      </c>
      <c r="D34" t="s">
        <v>77</v>
      </c>
      <c r="E34" t="s">
        <v>75</v>
      </c>
      <c r="F34" t="s">
        <v>76</v>
      </c>
      <c r="G34">
        <v>5</v>
      </c>
      <c r="H34">
        <v>18000</v>
      </c>
      <c r="I34">
        <v>90000</v>
      </c>
    </row>
    <row r="35" spans="1:9">
      <c r="A35">
        <v>1032</v>
      </c>
      <c r="B35" s="4">
        <v>46266</v>
      </c>
      <c r="C35" s="4" t="str">
        <f>TEXT(B35,"mmmm")</f>
        <v>September</v>
      </c>
      <c r="D35" t="s">
        <v>73</v>
      </c>
      <c r="E35" t="s">
        <v>70</v>
      </c>
      <c r="F35" t="s">
        <v>78</v>
      </c>
      <c r="G35">
        <v>13</v>
      </c>
      <c r="H35">
        <v>2500</v>
      </c>
      <c r="I35">
        <v>32500</v>
      </c>
    </row>
    <row r="36" spans="1:9">
      <c r="A36">
        <v>1033</v>
      </c>
      <c r="B36" s="4">
        <v>46267</v>
      </c>
      <c r="C36" s="4" t="str">
        <f>TEXT(B36,"mmmm")</f>
        <v>September</v>
      </c>
      <c r="D36" t="s">
        <v>16</v>
      </c>
      <c r="E36" t="s">
        <v>70</v>
      </c>
      <c r="F36" t="s">
        <v>76</v>
      </c>
      <c r="G36">
        <v>3</v>
      </c>
      <c r="H36">
        <v>55000</v>
      </c>
      <c r="I36">
        <v>165000</v>
      </c>
    </row>
    <row r="37" spans="1:9">
      <c r="A37">
        <v>1034</v>
      </c>
      <c r="B37" s="4">
        <v>46268</v>
      </c>
      <c r="C37" s="4" t="str">
        <f>TEXT(B37,"mmmm")</f>
        <v>September</v>
      </c>
      <c r="D37" t="s">
        <v>74</v>
      </c>
      <c r="E37" t="s">
        <v>75</v>
      </c>
      <c r="F37" t="s">
        <v>65</v>
      </c>
      <c r="G37">
        <v>6</v>
      </c>
      <c r="H37">
        <v>22000</v>
      </c>
      <c r="I37">
        <v>132000</v>
      </c>
    </row>
    <row r="38" spans="1:9">
      <c r="A38">
        <v>1035</v>
      </c>
      <c r="B38" s="4">
        <v>46269</v>
      </c>
      <c r="C38" s="4" t="str">
        <f>TEXT(B38,"mmmm")</f>
        <v>September</v>
      </c>
      <c r="D38" t="s">
        <v>77</v>
      </c>
      <c r="E38" t="s">
        <v>72</v>
      </c>
      <c r="F38" t="s">
        <v>78</v>
      </c>
      <c r="G38">
        <v>9</v>
      </c>
      <c r="H38">
        <v>18000</v>
      </c>
      <c r="I38">
        <v>162000</v>
      </c>
    </row>
    <row r="39" spans="1:9">
      <c r="A39">
        <v>1036</v>
      </c>
      <c r="B39" s="4">
        <v>46270</v>
      </c>
      <c r="C39" s="4" t="str">
        <f>TEXT(B39,"mmmm")</f>
        <v>September</v>
      </c>
      <c r="D39" t="s">
        <v>73</v>
      </c>
      <c r="E39" t="s">
        <v>80</v>
      </c>
      <c r="F39" t="s">
        <v>71</v>
      </c>
      <c r="G39">
        <v>16</v>
      </c>
      <c r="H39">
        <v>2500</v>
      </c>
      <c r="I39">
        <v>40000</v>
      </c>
    </row>
    <row r="40" spans="1:9">
      <c r="A40">
        <v>1037</v>
      </c>
      <c r="B40" s="4">
        <v>46271</v>
      </c>
      <c r="C40" s="4" t="str">
        <f>TEXT(B40,"mmmm")</f>
        <v>September</v>
      </c>
      <c r="D40" t="s">
        <v>16</v>
      </c>
      <c r="E40" t="s">
        <v>75</v>
      </c>
      <c r="F40" t="s">
        <v>65</v>
      </c>
      <c r="G40">
        <v>2</v>
      </c>
      <c r="H40">
        <v>55000</v>
      </c>
      <c r="I40">
        <v>110000</v>
      </c>
    </row>
    <row r="41" spans="1:9">
      <c r="A41">
        <v>1038</v>
      </c>
      <c r="B41" s="4">
        <v>46272</v>
      </c>
      <c r="C41" s="4" t="str">
        <f>TEXT(B41,"mmmm")</f>
        <v>September</v>
      </c>
      <c r="D41" t="s">
        <v>74</v>
      </c>
      <c r="E41" t="s">
        <v>70</v>
      </c>
      <c r="F41" t="s">
        <v>71</v>
      </c>
      <c r="G41">
        <v>9</v>
      </c>
      <c r="H41">
        <v>22000</v>
      </c>
      <c r="I41">
        <v>198000</v>
      </c>
    </row>
    <row r="42" spans="1:9">
      <c r="A42">
        <v>1039</v>
      </c>
      <c r="B42" s="4">
        <v>46273</v>
      </c>
      <c r="C42" s="4" t="str">
        <f>TEXT(B42,"mmmm")</f>
        <v>September</v>
      </c>
      <c r="D42" t="s">
        <v>77</v>
      </c>
      <c r="E42" t="s">
        <v>80</v>
      </c>
      <c r="F42" t="s">
        <v>78</v>
      </c>
      <c r="G42">
        <v>6</v>
      </c>
      <c r="H42">
        <v>18000</v>
      </c>
      <c r="I42">
        <v>108000</v>
      </c>
    </row>
    <row r="43" spans="1:9">
      <c r="A43">
        <v>1040</v>
      </c>
      <c r="B43" s="4">
        <v>46274</v>
      </c>
      <c r="C43" s="4" t="str">
        <f>TEXT(B43,"mmmm")</f>
        <v>September</v>
      </c>
      <c r="D43" t="s">
        <v>73</v>
      </c>
      <c r="E43" t="s">
        <v>72</v>
      </c>
      <c r="F43" t="s">
        <v>76</v>
      </c>
      <c r="G43">
        <v>12</v>
      </c>
      <c r="H43">
        <v>2500</v>
      </c>
      <c r="I43">
        <v>30000</v>
      </c>
    </row>
    <row r="44" spans="1:9">
      <c r="A44">
        <v>1041</v>
      </c>
      <c r="B44" s="4">
        <v>46275</v>
      </c>
      <c r="C44" s="4" t="str">
        <f>TEXT(B44,"mmmm")</f>
        <v>September</v>
      </c>
      <c r="D44" t="s">
        <v>16</v>
      </c>
      <c r="E44" t="s">
        <v>72</v>
      </c>
      <c r="F44" t="s">
        <v>71</v>
      </c>
      <c r="G44">
        <v>5</v>
      </c>
      <c r="H44">
        <v>55000</v>
      </c>
      <c r="I44">
        <v>275000</v>
      </c>
    </row>
    <row r="45" spans="1:9">
      <c r="A45">
        <v>1042</v>
      </c>
      <c r="B45" s="4">
        <v>46276</v>
      </c>
      <c r="C45" s="4" t="str">
        <f>TEXT(B45,"mmmm")</f>
        <v>September</v>
      </c>
      <c r="D45" t="s">
        <v>74</v>
      </c>
      <c r="E45" t="s">
        <v>80</v>
      </c>
      <c r="F45" t="s">
        <v>76</v>
      </c>
      <c r="G45">
        <v>4</v>
      </c>
      <c r="H45">
        <v>22000</v>
      </c>
      <c r="I45">
        <v>88000</v>
      </c>
    </row>
    <row r="46" spans="1:9">
      <c r="A46">
        <v>1043</v>
      </c>
      <c r="B46" s="4">
        <v>46277</v>
      </c>
      <c r="C46" s="4" t="str">
        <f>TEXT(B46,"mmmm")</f>
        <v>September</v>
      </c>
      <c r="D46" t="s">
        <v>77</v>
      </c>
      <c r="E46" t="s">
        <v>70</v>
      </c>
      <c r="F46" t="s">
        <v>65</v>
      </c>
      <c r="G46">
        <v>7</v>
      </c>
      <c r="H46">
        <v>18000</v>
      </c>
      <c r="I46">
        <v>126000</v>
      </c>
    </row>
    <row r="47" spans="1:9">
      <c r="A47">
        <v>1044</v>
      </c>
      <c r="B47" s="4">
        <v>46278</v>
      </c>
      <c r="C47" s="4" t="str">
        <f>TEXT(B47,"mmmm")</f>
        <v>September</v>
      </c>
      <c r="D47" t="s">
        <v>73</v>
      </c>
      <c r="E47" t="s">
        <v>75</v>
      </c>
      <c r="F47" t="s">
        <v>78</v>
      </c>
      <c r="G47">
        <v>18</v>
      </c>
      <c r="H47">
        <v>2500</v>
      </c>
      <c r="I47">
        <v>45000</v>
      </c>
    </row>
    <row r="48" spans="1:9">
      <c r="A48">
        <v>1045</v>
      </c>
      <c r="B48" s="4">
        <v>46279</v>
      </c>
      <c r="C48" s="4" t="str">
        <f>TEXT(B48,"mmmm")</f>
        <v>September</v>
      </c>
      <c r="D48" t="s">
        <v>16</v>
      </c>
      <c r="E48" t="s">
        <v>80</v>
      </c>
      <c r="F48" t="s">
        <v>78</v>
      </c>
      <c r="G48">
        <v>3</v>
      </c>
      <c r="H48">
        <v>55000</v>
      </c>
      <c r="I48">
        <v>165000</v>
      </c>
    </row>
    <row r="49" spans="1:9">
      <c r="A49">
        <v>1046</v>
      </c>
      <c r="B49" s="4">
        <v>46280</v>
      </c>
      <c r="C49" s="4" t="str">
        <f>TEXT(B49,"mmmm")</f>
        <v>September</v>
      </c>
      <c r="D49" t="s">
        <v>74</v>
      </c>
      <c r="E49" t="s">
        <v>72</v>
      </c>
      <c r="F49" t="s">
        <v>65</v>
      </c>
      <c r="G49">
        <v>8</v>
      </c>
      <c r="H49">
        <v>22000</v>
      </c>
      <c r="I49">
        <v>176000</v>
      </c>
    </row>
    <row r="50" spans="1:9">
      <c r="A50">
        <v>1047</v>
      </c>
      <c r="B50" s="4">
        <v>46281</v>
      </c>
      <c r="C50" s="4" t="str">
        <f>TEXT(B50,"mmmm")</f>
        <v>September</v>
      </c>
      <c r="D50" t="s">
        <v>77</v>
      </c>
      <c r="E50" t="s">
        <v>75</v>
      </c>
      <c r="F50" t="s">
        <v>71</v>
      </c>
      <c r="G50">
        <v>6</v>
      </c>
      <c r="H50">
        <v>18000</v>
      </c>
      <c r="I50">
        <v>108000</v>
      </c>
    </row>
    <row r="51" spans="1:9">
      <c r="A51">
        <v>1048</v>
      </c>
      <c r="B51" s="4">
        <v>46282</v>
      </c>
      <c r="C51" s="4" t="str">
        <f>TEXT(B51,"mmmm")</f>
        <v>September</v>
      </c>
      <c r="D51" t="s">
        <v>73</v>
      </c>
      <c r="E51" t="s">
        <v>70</v>
      </c>
      <c r="F51" t="s">
        <v>76</v>
      </c>
      <c r="G51">
        <v>10</v>
      </c>
      <c r="H51">
        <v>2500</v>
      </c>
      <c r="I51">
        <v>25000</v>
      </c>
    </row>
    <row r="52" spans="1:9">
      <c r="A52">
        <v>1049</v>
      </c>
      <c r="B52" s="4">
        <v>46283</v>
      </c>
      <c r="C52" s="4" t="str">
        <f>TEXT(B52,"mmmm")</f>
        <v>September</v>
      </c>
      <c r="D52" t="s">
        <v>16</v>
      </c>
      <c r="E52" t="s">
        <v>70</v>
      </c>
      <c r="F52" t="s">
        <v>78</v>
      </c>
      <c r="G52">
        <v>4</v>
      </c>
      <c r="H52">
        <v>55000</v>
      </c>
      <c r="I52">
        <v>220000</v>
      </c>
    </row>
    <row r="53" spans="1:9">
      <c r="A53">
        <v>1050</v>
      </c>
      <c r="B53" s="4">
        <v>46284</v>
      </c>
      <c r="C53" s="4" t="str">
        <f>TEXT(B53,"mmmm")</f>
        <v>September</v>
      </c>
      <c r="D53" t="s">
        <v>74</v>
      </c>
      <c r="E53" t="s">
        <v>75</v>
      </c>
      <c r="F53" t="s">
        <v>71</v>
      </c>
      <c r="G53">
        <v>7</v>
      </c>
      <c r="H53">
        <v>22000</v>
      </c>
      <c r="I53">
        <v>154000</v>
      </c>
    </row>
  </sheetData>
  <mergeCells count="1">
    <mergeCell ref="A1:G1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2026-08-15T11:08:35Z</dcterms:created>
  <dcterms:modified xsi:type="dcterms:W3CDTF">2026-08-18T16:59:59Z</dcterms:modified>
  <cp:category/>
  <cp:contentStatus/>
</cp:coreProperties>
</file>