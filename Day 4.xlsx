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<sst xmlns="http://schemas.openxmlformats.org/spreadsheetml/2006/main" count="680" uniqueCount="466">
  <si>
    <t>STUDENT PERFORMANCE DATABASE 2026-2027</t>
  </si>
  <si>
    <t>SUBJECTS</t>
  </si>
  <si>
    <t>SR . NO</t>
  </si>
  <si>
    <t>ROLL NO</t>
  </si>
  <si>
    <t>STD NAME</t>
  </si>
  <si>
    <t>LOCATION</t>
  </si>
  <si>
    <t>PYTHON</t>
  </si>
  <si>
    <t>HTML</t>
  </si>
  <si>
    <t>SQL</t>
  </si>
  <si>
    <t>TOTAL MARKS</t>
  </si>
  <si>
    <t>PERCENTAGE</t>
  </si>
  <si>
    <t>STATUS</t>
  </si>
  <si>
    <t>ISSUE DATE</t>
  </si>
  <si>
    <t>Rank</t>
  </si>
  <si>
    <r>
      <rPr>
        <rFont val="Arial"/>
        <b/>
        <color rgb="FFFFFFFF"/>
        <sz val="16.0"/>
      </rPr>
      <t>STUDENT ROLL</t>
    </r>
    <r>
      <rPr>
        <rFont val="Arial"/>
        <b/>
        <color rgb="FFFFFFFF"/>
        <sz val="20.0"/>
      </rPr>
      <t xml:space="preserve"> </t>
    </r>
  </si>
  <si>
    <t>R134</t>
  </si>
  <si>
    <t>Ananya Nair</t>
  </si>
  <si>
    <t>Bengaluru</t>
  </si>
  <si>
    <t>R012</t>
  </si>
  <si>
    <t>Kavya Nair</t>
  </si>
  <si>
    <t>PARTICULAR</t>
  </si>
  <si>
    <t>COUNT</t>
  </si>
  <si>
    <t>R144</t>
  </si>
  <si>
    <t>Simran Kaur</t>
  </si>
  <si>
    <t>Chandigarh</t>
  </si>
  <si>
    <t>RANK</t>
  </si>
  <si>
    <t>R062</t>
  </si>
  <si>
    <t>Swati Desai</t>
  </si>
  <si>
    <t>Mumbai</t>
  </si>
  <si>
    <t>TOTAL STUDENT</t>
  </si>
  <si>
    <t>R095</t>
  </si>
  <si>
    <t>Rutuja Sane</t>
  </si>
  <si>
    <t>Thane</t>
  </si>
  <si>
    <t>TOTAL PASS</t>
  </si>
  <si>
    <t>R122</t>
  </si>
  <si>
    <t>Aishwarya Desai</t>
  </si>
  <si>
    <t>TOTAL FAIL</t>
  </si>
  <si>
    <t>R154</t>
  </si>
  <si>
    <t>Kavya Reddy</t>
  </si>
  <si>
    <t>Hyderabad</t>
  </si>
  <si>
    <t>R162</t>
  </si>
  <si>
    <t>Riya Nair</t>
  </si>
  <si>
    <t>PASS STD</t>
  </si>
  <si>
    <t>FAIL STD</t>
  </si>
  <si>
    <t>TOTAL</t>
  </si>
  <si>
    <t>R178</t>
  </si>
  <si>
    <t>Shreya Nair</t>
  </si>
  <si>
    <t>Kochi</t>
  </si>
  <si>
    <t>Highest marks</t>
  </si>
  <si>
    <t>R192</t>
  </si>
  <si>
    <t>Ananya Desai</t>
  </si>
  <si>
    <t>Name</t>
  </si>
  <si>
    <t>R038</t>
  </si>
  <si>
    <t>Anjali Gupta</t>
  </si>
  <si>
    <t>Delhi</t>
  </si>
  <si>
    <t>Roll no</t>
  </si>
  <si>
    <t>R070</t>
  </si>
  <si>
    <t>Khushi Shah</t>
  </si>
  <si>
    <t>Ahmedabad</t>
  </si>
  <si>
    <t>Sedi</t>
  </si>
  <si>
    <t>R138</t>
  </si>
  <si>
    <t>Radhika Jain</t>
  </si>
  <si>
    <t>Indore</t>
  </si>
  <si>
    <t>R148</t>
  </si>
  <si>
    <t>Shivani Nair</t>
  </si>
  <si>
    <t>Lowest marks</t>
  </si>
  <si>
    <t>R198</t>
  </si>
  <si>
    <t>Sakshi Desai</t>
  </si>
  <si>
    <t>R052</t>
  </si>
  <si>
    <t>Anushka Rao</t>
  </si>
  <si>
    <t>R112</t>
  </si>
  <si>
    <t>Sneha Reddy</t>
  </si>
  <si>
    <t>R166</t>
  </si>
  <si>
    <t>Anjali Mehta</t>
  </si>
  <si>
    <t>R182</t>
  </si>
  <si>
    <t>Kirti Desai</t>
  </si>
  <si>
    <t>Chennai</t>
  </si>
  <si>
    <t>R016</t>
  </si>
  <si>
    <t>Meera Iyer</t>
  </si>
  <si>
    <t>Pune</t>
  </si>
  <si>
    <t>R100</t>
  </si>
  <si>
    <t>Pranali Joshi</t>
  </si>
  <si>
    <t>Nashik</t>
  </si>
  <si>
    <t>R128</t>
  </si>
  <si>
    <t>Tanisha Mehta</t>
  </si>
  <si>
    <t>Nagpur</t>
  </si>
  <si>
    <t>R172</t>
  </si>
  <si>
    <t>Nandini Shah</t>
  </si>
  <si>
    <t>Kolhapur</t>
  </si>
  <si>
    <t>R200</t>
  </si>
  <si>
    <t>Shivani Patil</t>
  </si>
  <si>
    <t>Surat</t>
  </si>
  <si>
    <t>R006</t>
  </si>
  <si>
    <t>Priya Shah</t>
  </si>
  <si>
    <t>Satara</t>
  </si>
  <si>
    <t>R028</t>
  </si>
  <si>
    <t>Tanvi Chavan</t>
  </si>
  <si>
    <t>Shimla</t>
  </si>
  <si>
    <t>R059</t>
  </si>
  <si>
    <t>Akanksha Mehta</t>
  </si>
  <si>
    <t>Kanpur</t>
  </si>
  <si>
    <t>R142</t>
  </si>
  <si>
    <t>Vaishali Patil</t>
  </si>
  <si>
    <t>Jaipur</t>
  </si>
  <si>
    <t>R156</t>
  </si>
  <si>
    <t>Pallavi Mehta</t>
  </si>
  <si>
    <t>Bhopal</t>
  </si>
  <si>
    <t>R168</t>
  </si>
  <si>
    <t>Sonal Patil</t>
  </si>
  <si>
    <t>Solapur</t>
  </si>
  <si>
    <t>R184</t>
  </si>
  <si>
    <t>Aditi Sharma</t>
  </si>
  <si>
    <t>Lucknow</t>
  </si>
  <si>
    <t>R170</t>
  </si>
  <si>
    <t>Divya Jain</t>
  </si>
  <si>
    <t>Prayagraj</t>
  </si>
  <si>
    <t>R186</t>
  </si>
  <si>
    <t>Pooja Jain</t>
  </si>
  <si>
    <t>Patna</t>
  </si>
  <si>
    <t>R077</t>
  </si>
  <si>
    <t>Shalini Gupta</t>
  </si>
  <si>
    <t>STUDENT ROLL NO:</t>
  </si>
  <si>
    <t>R104</t>
  </si>
  <si>
    <t>Shivani Gupta</t>
  </si>
  <si>
    <t>R150</t>
  </si>
  <si>
    <t>Anushka Jain</t>
  </si>
  <si>
    <t>R024</t>
  </si>
  <si>
    <t>Aditi Sane</t>
  </si>
  <si>
    <t>R032</t>
  </si>
  <si>
    <t>Shreya Kulkarni</t>
  </si>
  <si>
    <t>R066</t>
  </si>
  <si>
    <t>Pallavi Joshi</t>
  </si>
  <si>
    <t>R097</t>
  </si>
  <si>
    <t>Neha Nair</t>
  </si>
  <si>
    <t>R158</t>
  </si>
  <si>
    <t>Mansi Patil</t>
  </si>
  <si>
    <t>R055</t>
  </si>
  <si>
    <t>Yash Kulkarni</t>
  </si>
  <si>
    <t>Parivartan Skill Academy chh.sambhajinagar</t>
  </si>
  <si>
    <t>R068</t>
  </si>
  <si>
    <t>Divya Reddy</t>
  </si>
  <si>
    <t>R074</t>
  </si>
  <si>
    <t>Sonal Kapoor</t>
  </si>
  <si>
    <t>R091</t>
  </si>
  <si>
    <t>Sonali Desai</t>
  </si>
  <si>
    <t>STUDENT ROLL:</t>
  </si>
  <si>
    <t>R102</t>
  </si>
  <si>
    <t>Manasi Patil</t>
  </si>
  <si>
    <t>STUDENT NAME:</t>
  </si>
  <si>
    <t>R131</t>
  </si>
  <si>
    <t>Raj Malhotra</t>
  </si>
  <si>
    <t>SEDI</t>
  </si>
  <si>
    <t>R136</t>
  </si>
  <si>
    <t>Sakshi Shah</t>
  </si>
  <si>
    <t>R160</t>
  </si>
  <si>
    <t>Shweta Joshi</t>
  </si>
  <si>
    <t>SR NO</t>
  </si>
  <si>
    <t>SUBJECT</t>
  </si>
  <si>
    <t>MARKS</t>
  </si>
  <si>
    <t>R190</t>
  </si>
  <si>
    <t>Neha Kapoor</t>
  </si>
  <si>
    <t>Python</t>
  </si>
  <si>
    <t>R194</t>
  </si>
  <si>
    <t>Snehal Shah</t>
  </si>
  <si>
    <t>R048</t>
  </si>
  <si>
    <t>Radhika Nair</t>
  </si>
  <si>
    <t>R085</t>
  </si>
  <si>
    <t>Rashmi Singh</t>
  </si>
  <si>
    <t>Actual Marks:</t>
  </si>
  <si>
    <t>R087</t>
  </si>
  <si>
    <t>Shweta Pawar</t>
  </si>
  <si>
    <t>Total Marks:</t>
  </si>
  <si>
    <t>R124</t>
  </si>
  <si>
    <t>Shreya Singh</t>
  </si>
  <si>
    <t>Percentage %:</t>
  </si>
  <si>
    <t>R146</t>
  </si>
  <si>
    <t>Neha Singh</t>
  </si>
  <si>
    <t>Final Remarks</t>
  </si>
  <si>
    <t>R180</t>
  </si>
  <si>
    <t>Rashmi Shah</t>
  </si>
  <si>
    <t>R036</t>
  </si>
  <si>
    <t>Komal Thakur</t>
  </si>
  <si>
    <t>R140</t>
  </si>
  <si>
    <t>Meenal Joshi</t>
  </si>
  <si>
    <t>R174</t>
  </si>
  <si>
    <t>Priya Singh</t>
  </si>
  <si>
    <t>R021</t>
  </si>
  <si>
    <t>Arjun Malhotra</t>
  </si>
  <si>
    <t>Signature</t>
  </si>
  <si>
    <t>R114</t>
  </si>
  <si>
    <t>Kajal Jain</t>
  </si>
  <si>
    <t>Issue date:</t>
  </si>
  <si>
    <t>R164</t>
  </si>
  <si>
    <t>Komal Singh</t>
  </si>
  <si>
    <t>R099</t>
  </si>
  <si>
    <t>Ayesha Khan</t>
  </si>
  <si>
    <t>THIS IS COMPUTER GENERATED RESULT</t>
  </si>
  <si>
    <t>R002</t>
  </si>
  <si>
    <t>Ananya Patil</t>
  </si>
  <si>
    <t>R020</t>
  </si>
  <si>
    <t>Riya Mishra</t>
  </si>
  <si>
    <t>R106</t>
  </si>
  <si>
    <t>Anjali Pawar</t>
  </si>
  <si>
    <t>R120</t>
  </si>
  <si>
    <t>Komal Shah</t>
  </si>
  <si>
    <t>R152</t>
  </si>
  <si>
    <t>Pranali More</t>
  </si>
  <si>
    <t>R026</t>
  </si>
  <si>
    <t>Nisha Reddy</t>
  </si>
  <si>
    <t>R093</t>
  </si>
  <si>
    <t>Poonam Jain</t>
  </si>
  <si>
    <t>R130</t>
  </si>
  <si>
    <t>Nikita Yadav</t>
  </si>
  <si>
    <t>R050</t>
  </si>
  <si>
    <t>Shivani Joshi</t>
  </si>
  <si>
    <t>R040</t>
  </si>
  <si>
    <t>Rutuja Pawar</t>
  </si>
  <si>
    <t>R117</t>
  </si>
  <si>
    <t>Arnav Kapoor</t>
  </si>
  <si>
    <t>R080</t>
  </si>
  <si>
    <t>Swapnil Joshi</t>
  </si>
  <si>
    <t>R043</t>
  </si>
  <si>
    <t>Chirag Shah</t>
  </si>
  <si>
    <t>R076</t>
  </si>
  <si>
    <t>Neel Patel</t>
  </si>
  <si>
    <t>R133</t>
  </si>
  <si>
    <t>Tejas Patil</t>
  </si>
  <si>
    <t>R141</t>
  </si>
  <si>
    <t>Harsh Mehta</t>
  </si>
  <si>
    <t>R197</t>
  </si>
  <si>
    <t>Manish Shah</t>
  </si>
  <si>
    <t>R054</t>
  </si>
  <si>
    <t>Payal Sharma</t>
  </si>
  <si>
    <t>R109</t>
  </si>
  <si>
    <t>Akshay Shah</t>
  </si>
  <si>
    <t>R155</t>
  </si>
  <si>
    <t>Nikhil Sharma</t>
  </si>
  <si>
    <t>R008</t>
  </si>
  <si>
    <t>Neha Pawar</t>
  </si>
  <si>
    <t>R064</t>
  </si>
  <si>
    <t>Monika Yadav</t>
  </si>
  <si>
    <t>R079</t>
  </si>
  <si>
    <t>Reema Khan</t>
  </si>
  <si>
    <t>R014</t>
  </si>
  <si>
    <t>R090</t>
  </si>
  <si>
    <t>Sachin Kulkarni</t>
  </si>
  <si>
    <t>R127</t>
  </si>
  <si>
    <t>Abhishek Shah</t>
  </si>
  <si>
    <t>R167</t>
  </si>
  <si>
    <t>Prasad Shah</t>
  </si>
  <si>
    <t>R061</t>
  </si>
  <si>
    <t>Aniket Shinde</t>
  </si>
  <si>
    <t>R151</t>
  </si>
  <si>
    <t>Manav Shah</t>
  </si>
  <si>
    <t>R181</t>
  </si>
  <si>
    <t>Saurabh Patil</t>
  </si>
  <si>
    <t>R171</t>
  </si>
  <si>
    <t>Arjun Patil</t>
  </si>
  <si>
    <t>R030</t>
  </si>
  <si>
    <t>Sakshi Mane</t>
  </si>
  <si>
    <t>R034</t>
  </si>
  <si>
    <t>Mansi Jain</t>
  </si>
  <si>
    <t>R096</t>
  </si>
  <si>
    <t>Vaibhav Patil</t>
  </si>
  <si>
    <t>R132</t>
  </si>
  <si>
    <t>Pooja Pawar</t>
  </si>
  <si>
    <t>R185</t>
  </si>
  <si>
    <t>Tejas More</t>
  </si>
  <si>
    <t>R049</t>
  </si>
  <si>
    <t>Manav Jain</t>
  </si>
  <si>
    <t>R105</t>
  </si>
  <si>
    <t>Karan Mehta</t>
  </si>
  <si>
    <t>R191</t>
  </si>
  <si>
    <t>Pratik Patil</t>
  </si>
  <si>
    <t>R073</t>
  </si>
  <si>
    <t>Vishal Pawar</t>
  </si>
  <si>
    <t>R115</t>
  </si>
  <si>
    <t>Vinay Joshi</t>
  </si>
  <si>
    <t>R175</t>
  </si>
  <si>
    <t>Kunal Patil</t>
  </si>
  <si>
    <t>R199</t>
  </si>
  <si>
    <t>Yash Joshi</t>
  </si>
  <si>
    <t>R017</t>
  </si>
  <si>
    <t>Siddharth Rao</t>
  </si>
  <si>
    <t>R125</t>
  </si>
  <si>
    <t>Manish Patil</t>
  </si>
  <si>
    <t>R063</t>
  </si>
  <si>
    <t>Rohit Nair</t>
  </si>
  <si>
    <t>R101</t>
  </si>
  <si>
    <t>Aditya Shah</t>
  </si>
  <si>
    <t>R161</t>
  </si>
  <si>
    <t>Akshay More</t>
  </si>
  <si>
    <t>R165</t>
  </si>
  <si>
    <t>Vivek Patil</t>
  </si>
  <si>
    <t>R107</t>
  </si>
  <si>
    <t>Rohit Deshmukh</t>
  </si>
  <si>
    <t>R189</t>
  </si>
  <si>
    <t>Rohit Pawar</t>
  </si>
  <si>
    <t>R056</t>
  </si>
  <si>
    <t>Snehal Patil</t>
  </si>
  <si>
    <t>R092</t>
  </si>
  <si>
    <t>Abhay Rao</t>
  </si>
  <si>
    <t>R037</t>
  </si>
  <si>
    <t>Nikhil Soni</t>
  </si>
  <si>
    <t>R044</t>
  </si>
  <si>
    <t>Muskan Ali</t>
  </si>
  <si>
    <t>R067</t>
  </si>
  <si>
    <t>Amol Patil</t>
  </si>
  <si>
    <t>R086</t>
  </si>
  <si>
    <t>Atul Verma</t>
  </si>
  <si>
    <t>R177</t>
  </si>
  <si>
    <t>Sameer Joshi</t>
  </si>
  <si>
    <t>R187</t>
  </si>
  <si>
    <t>Akash Patil</t>
  </si>
  <si>
    <t>R195</t>
  </si>
  <si>
    <t>Amol Pawar</t>
  </si>
  <si>
    <t>R078</t>
  </si>
  <si>
    <t>Akash More</t>
  </si>
  <si>
    <t>R153</t>
  </si>
  <si>
    <t>Ritesh Patil</t>
  </si>
  <si>
    <t>R009</t>
  </si>
  <si>
    <t>Raj Mehta</t>
  </si>
  <si>
    <t>R019</t>
  </si>
  <si>
    <t>Manish Yadav</t>
  </si>
  <si>
    <t>R039</t>
  </si>
  <si>
    <t>Pranav Joshi</t>
  </si>
  <si>
    <t>R143</t>
  </si>
  <si>
    <t>Rohan Shah</t>
  </si>
  <si>
    <t>R159</t>
  </si>
  <si>
    <t>Deepak Shah</t>
  </si>
  <si>
    <t>R169</t>
  </si>
  <si>
    <t>Mayur Deshmukh</t>
  </si>
  <si>
    <t>R035</t>
  </si>
  <si>
    <t>Tejas Wagh</t>
  </si>
  <si>
    <t>R057</t>
  </si>
  <si>
    <t>Deepak Verma</t>
  </si>
  <si>
    <t>R060</t>
  </si>
  <si>
    <t>Pratik Jadhav</t>
  </si>
  <si>
    <t>R075</t>
  </si>
  <si>
    <t>Prasad Deshmukh</t>
  </si>
  <si>
    <t>R113</t>
  </si>
  <si>
    <t>Omkar More</t>
  </si>
  <si>
    <t>R149</t>
  </si>
  <si>
    <t>Gaurav Patil</t>
  </si>
  <si>
    <t>R001</t>
  </si>
  <si>
    <t>Aarav Sharma</t>
  </si>
  <si>
    <t>R025</t>
  </si>
  <si>
    <t>Harsh Vora</t>
  </si>
  <si>
    <t>R029</t>
  </si>
  <si>
    <t>Ayush Tiwari</t>
  </si>
  <si>
    <t>R103</t>
  </si>
  <si>
    <t>Raj Verma</t>
  </si>
  <si>
    <t>R145</t>
  </si>
  <si>
    <t>Amol Deshmukh</t>
  </si>
  <si>
    <t>R163</t>
  </si>
  <si>
    <t>Rahul Pawar</t>
  </si>
  <si>
    <t>R173</t>
  </si>
  <si>
    <t>Rajesh Pawar</t>
  </si>
  <si>
    <t>R193</t>
  </si>
  <si>
    <t>Vishal Joshi</t>
  </si>
  <si>
    <t>R005</t>
  </si>
  <si>
    <t>Aditya Kulkarni</t>
  </si>
  <si>
    <t>R123</t>
  </si>
  <si>
    <t>Sameer More</t>
  </si>
  <si>
    <t>R135</t>
  </si>
  <si>
    <t>Siddhant Verma</t>
  </si>
  <si>
    <t>R071</t>
  </si>
  <si>
    <t>Rajesh Kumar</t>
  </si>
  <si>
    <t>R084</t>
  </si>
  <si>
    <t>Mayur Jadhav</t>
  </si>
  <si>
    <t>R069</t>
  </si>
  <si>
    <t>Suraj More</t>
  </si>
  <si>
    <t>R094</t>
  </si>
  <si>
    <t>Akash Singh</t>
  </si>
  <si>
    <t>R157</t>
  </si>
  <si>
    <t>Suraj Deshmukh</t>
  </si>
  <si>
    <t>R179</t>
  </si>
  <si>
    <t>Abhishek Pawar</t>
  </si>
  <si>
    <t>R183</t>
  </si>
  <si>
    <t>Manoj Patil</t>
  </si>
  <si>
    <t>R051</t>
  </si>
  <si>
    <t>Akshay Pawar</t>
  </si>
  <si>
    <t>R081</t>
  </si>
  <si>
    <t>Harshad Patil</t>
  </si>
  <si>
    <t>R119</t>
  </si>
  <si>
    <t>Sagar Pawar</t>
  </si>
  <si>
    <t>R129</t>
  </si>
  <si>
    <t>Pratik More</t>
  </si>
  <si>
    <t>R011</t>
  </si>
  <si>
    <t>Akash Jadhav</t>
  </si>
  <si>
    <t>R027</t>
  </si>
  <si>
    <t>Varun Shetty</t>
  </si>
  <si>
    <t>Mangaluru</t>
  </si>
  <si>
    <t>R041</t>
  </si>
  <si>
    <t>Sameer Khan</t>
  </si>
  <si>
    <t>R139</t>
  </si>
  <si>
    <t>Swapnil Pawar</t>
  </si>
  <si>
    <t>R003</t>
  </si>
  <si>
    <t>Rohan Deshmukh</t>
  </si>
  <si>
    <t>R065</t>
  </si>
  <si>
    <t>Gaurav Mishra</t>
  </si>
  <si>
    <t>R111</t>
  </si>
  <si>
    <t>Nitin Kumar</t>
  </si>
  <si>
    <t>R088</t>
  </si>
  <si>
    <t>Manoj Yadav</t>
  </si>
  <si>
    <t>R013</t>
  </si>
  <si>
    <t>Rahul Singh</t>
  </si>
  <si>
    <t>R015</t>
  </si>
  <si>
    <t>Omkar Shinde</t>
  </si>
  <si>
    <t>R047</t>
  </si>
  <si>
    <t>Aniket More</t>
  </si>
  <si>
    <t>R023</t>
  </si>
  <si>
    <t>Kunal Bhosale</t>
  </si>
  <si>
    <t>R053</t>
  </si>
  <si>
    <t>Ritesh Singh</t>
  </si>
  <si>
    <t>R188</t>
  </si>
  <si>
    <t>Vaishnavi Shah</t>
  </si>
  <si>
    <t>R004</t>
  </si>
  <si>
    <t>Sneha Joshi</t>
  </si>
  <si>
    <t>R007</t>
  </si>
  <si>
    <t>Vivek More</t>
  </si>
  <si>
    <t>R010</t>
  </si>
  <si>
    <t>Isha Gupta</t>
  </si>
  <si>
    <t>R018</t>
  </si>
  <si>
    <t>Pooja Verma</t>
  </si>
  <si>
    <t>R022</t>
  </si>
  <si>
    <t>Diya Kapoor</t>
  </si>
  <si>
    <t>R031</t>
  </si>
  <si>
    <t>Dev Patel</t>
  </si>
  <si>
    <t>R033</t>
  </si>
  <si>
    <t>Abhishek Kumar</t>
  </si>
  <si>
    <t>R042</t>
  </si>
  <si>
    <t>Vaishnavi Desai</t>
  </si>
  <si>
    <t>R045</t>
  </si>
  <si>
    <t>R046</t>
  </si>
  <si>
    <t>Palak Agarwal</t>
  </si>
  <si>
    <t>R058</t>
  </si>
  <si>
    <t>Shivam Gupta</t>
  </si>
  <si>
    <t>R072</t>
  </si>
  <si>
    <t>Nandini Iyer</t>
  </si>
  <si>
    <t>R082</t>
  </si>
  <si>
    <t>Priyanka Shah</t>
  </si>
  <si>
    <t>R083</t>
  </si>
  <si>
    <t>Varsha Nair</t>
  </si>
  <si>
    <t>R089</t>
  </si>
  <si>
    <t>Kirti Mehta</t>
  </si>
  <si>
    <t>R098</t>
  </si>
  <si>
    <t>Rahul More</t>
  </si>
  <si>
    <t>R108</t>
  </si>
  <si>
    <t>Megha Iyer</t>
  </si>
  <si>
    <t>R110</t>
  </si>
  <si>
    <t>Payal Patil</t>
  </si>
  <si>
    <t>R116</t>
  </si>
  <si>
    <t>Riya Patil</t>
  </si>
  <si>
    <t>R121</t>
  </si>
  <si>
    <t>Rohit Patil</t>
  </si>
  <si>
    <t>R126</t>
  </si>
  <si>
    <t>Divya Joshi</t>
  </si>
  <si>
    <t>R137</t>
  </si>
  <si>
    <t>Akash Reddy</t>
  </si>
  <si>
    <t>R147</t>
  </si>
  <si>
    <t>Yash Pawar</t>
  </si>
  <si>
    <t>R176</t>
  </si>
  <si>
    <t>Meera Reddy</t>
  </si>
  <si>
    <t>R196</t>
  </si>
  <si>
    <t>Radhika Patil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</si>
</sst>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18">
    <font>
      <sz val="10.0"/>
      <color rgb="FF000000"/>
      <name val="Arial"/>
      <scheme val="minor"/>
    </font>
    <font>
      <b/>
      <sz val="20.0"/>
      <color rgb="FFFFFFFF"/>
      <name val="Arial"/>
    </font>
    <font>
      <color theme="1"/>
      <name val="Arial"/>
    </font>
    <font>
      <b/>
      <sz val="18.0"/>
      <color rgb="FFFFFFFF"/>
      <name val="Arial"/>
    </font>
    <font>
      <b/>
      <sz val="12.0"/>
      <color rgb="FFFFFFFF"/>
      <name val="Arial"/>
    </font>
    <font>
      <b/>
      <color rgb="FFFFFFFF"/>
      <name val="Arial"/>
      <scheme val="minor"/>
    </font>
    <font>
      <b/>
      <sz val="14.0"/>
      <color rgb="FF000000"/>
      <name val="Arial"/>
      <scheme val="minor"/>
    </font>
    <font>
      <sz val="11.0"/>
      <color theme="1"/>
      <name val="Arial"/>
      <scheme val="minor"/>
    </font>
    <font>
      <b/>
      <sz val="14.0"/>
      <color rgb="FFFFFFFF"/>
      <name val="Arial"/>
      <scheme val="minor"/>
    </font>
    <font/>
    <font>
      <sz val="12.0"/>
      <color theme="1"/>
      <name val="Arial"/>
      <scheme val="minor"/>
    </font>
    <font>
      <b/>
      <sz val="16.0"/>
      <color theme="1"/>
      <name val="Arial"/>
      <scheme val="minor"/>
    </font>
    <font>
      <b/>
      <sz val="12.0"/>
      <color theme="1"/>
      <name val="Arial"/>
      <scheme val="minor"/>
    </font>
    <font>
      <sz val="14.0"/>
      <color theme="1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b/>
      <sz val="20.0"/>
      <color rgb="FFFFFFFF"/>
      <name val="Arial"/>
      <scheme val="minor"/>
    </font>
    <font>
      <sz val="8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A64D79"/>
        <bgColor rgb="FFA64D79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rgb="FFD5A6BD"/>
        <bgColor rgb="FFD5A6BD"/>
      </patternFill>
    </fill>
    <fill>
      <patternFill patternType="solid">
        <fgColor rgb="FF980000"/>
        <bgColor rgb="FF980000"/>
      </patternFill>
    </fill>
    <fill>
      <patternFill patternType="solid">
        <fgColor rgb="FFFF0000"/>
        <bgColor rgb="FFFF0000"/>
      </patternFill>
    </fill>
    <fill>
      <patternFill patternType="solid">
        <fgColor rgb="FFE6B8AF"/>
        <bgColor rgb="FFE6B8AF"/>
      </patternFill>
    </fill>
    <fill>
      <patternFill patternType="solid">
        <fgColor theme="4"/>
        <bgColor theme="4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horizontal="center" shrinkToFit="0" vertical="bottom" wrapText="1"/>
    </xf>
    <xf borderId="0" fillId="4" fontId="4" numFmtId="0" xfId="0" applyAlignment="1" applyFill="1" applyFont="1">
      <alignment horizontal="center" shrinkToFit="0" vertical="bottom" wrapText="1"/>
    </xf>
    <xf borderId="0" fillId="4" fontId="4" numFmtId="0" xfId="0" applyAlignment="1" applyFill="1" applyFont="1">
      <alignment horizontal="center" readingOrder="0" shrinkToFit="0" vertical="bottom" wrapText="1"/>
    </xf>
    <xf borderId="0" fillId="5" fontId="5" numFmtId="0" xfId="0" applyAlignment="1" applyFill="1" applyFont="1">
      <alignment horizontal="center" readingOrder="0" vertical="center"/>
    </xf>
    <xf borderId="0" fillId="6" fontId="6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center" vertical="center"/>
    </xf>
    <xf borderId="0" fillId="0" fontId="7" numFmtId="10" xfId="0" applyAlignment="1" applyFont="1" applyNumberFormat="1">
      <alignment horizontal="center" vertical="center"/>
    </xf>
    <xf borderId="1" fillId="7" fontId="8" numFmtId="0" xfId="0" applyAlignment="1" applyBorder="1" applyFill="1" applyFont="1">
      <alignment horizontal="center" readingOrder="0" vertical="center"/>
    </xf>
    <xf borderId="2" fillId="0" fontId="9" numFmtId="0" xfId="0" applyBorder="1" applyFont="1"/>
    <xf borderId="1" fillId="5" fontId="4" numFmtId="0" xfId="0" applyAlignment="1" applyBorder="1" applyFill="1" applyFont="1">
      <alignment horizontal="center" shrinkToFit="0" vertical="center" wrapText="1"/>
    </xf>
    <xf borderId="1" fillId="5" fontId="4" numFmtId="0" xfId="0" applyAlignment="1" applyBorder="1" applyFill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vertical="center"/>
    </xf>
    <xf borderId="3" fillId="0" fontId="10" numFmtId="0" xfId="0" applyAlignment="1" applyBorder="1" applyFont="1">
      <alignment horizontal="center" readingOrder="0" vertical="center"/>
    </xf>
    <xf borderId="3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11" numFmtId="9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3" fillId="0" fontId="12" numFmtId="0" xfId="0" applyAlignment="1" applyBorder="1" applyFont="1">
      <alignment readingOrder="0"/>
    </xf>
    <xf borderId="0" fillId="0" fontId="13" numFmtId="0" xfId="0" applyAlignment="1" applyFont="1">
      <alignment horizontal="center" vertical="center"/>
    </xf>
    <xf borderId="0" fillId="8" fontId="14" numFmtId="0" xfId="0" applyAlignment="1" applyFill="1" applyFont="1">
      <alignment horizontal="center" readingOrder="0" vertical="center"/>
    </xf>
    <xf borderId="0" fillId="9" fontId="11" numFmtId="0" xfId="0" applyAlignment="1" applyFill="1" applyFont="1">
      <alignment readingOrder="0"/>
    </xf>
    <xf borderId="4" fillId="0" fontId="15" numFmtId="0" xfId="0" applyBorder="1" applyFont="1"/>
    <xf borderId="5" fillId="0" fontId="15" numFmtId="0" xfId="0" applyBorder="1" applyFont="1"/>
    <xf borderId="6" fillId="0" fontId="15" numFmtId="0" xfId="0" applyBorder="1" applyFont="1"/>
    <xf borderId="7" fillId="0" fontId="15" numFmtId="0" xfId="0" applyBorder="1" applyFont="1"/>
    <xf borderId="8" fillId="0" fontId="15" numFmtId="0" xfId="0" applyBorder="1" applyFont="1"/>
    <xf borderId="7" fillId="10" fontId="16" numFmtId="0" xfId="0" applyAlignment="1" applyBorder="1" applyFill="1" applyFont="1">
      <alignment horizontal="center" readingOrder="0" vertical="center"/>
    </xf>
    <xf borderId="8" fillId="0" fontId="9" numFmtId="0" xfId="0" applyBorder="1" applyFont="1"/>
    <xf borderId="7" fillId="0" fontId="9" numFmtId="0" xfId="0" applyBorder="1" applyFont="1"/>
    <xf borderId="7" fillId="0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left" readingOrder="0" vertical="center"/>
    </xf>
    <xf borderId="0" fillId="9" fontId="15" numFmtId="0" xfId="0" applyFill="1" applyFont="1"/>
    <xf borderId="7" fillId="0" fontId="12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readingOrder="0" vertical="center"/>
    </xf>
    <xf borderId="0" fillId="0" fontId="15" numFmtId="0" xfId="0" applyAlignment="1" applyFont="1">
      <alignment horizontal="center" readingOrder="0" vertical="center"/>
    </xf>
    <xf borderId="0" fillId="0" fontId="15" numFmtId="0" xfId="0" applyAlignment="1" applyFont="1">
      <alignment readingOrder="0"/>
    </xf>
    <xf borderId="0" fillId="0" fontId="15" numFmtId="0" xfId="0" applyFont="1"/>
    <xf borderId="9" fillId="0" fontId="15" numFmtId="0" xfId="0" applyAlignment="1" applyBorder="1" applyFont="1">
      <alignment horizontal="center" readingOrder="0" vertical="center"/>
    </xf>
    <xf borderId="10" fillId="0" fontId="15" numFmtId="0" xfId="0" applyBorder="1" applyFont="1"/>
    <xf borderId="10" fillId="0" fontId="15" numFmtId="0" xfId="0" applyAlignment="1" applyBorder="1" applyFont="1">
      <alignment horizontal="center" readingOrder="0" vertical="center"/>
    </xf>
    <xf borderId="11" fillId="0" fontId="15" numFmtId="0" xfId="0" applyBorder="1" applyFont="1"/>
    <xf borderId="0" fillId="9" fontId="10" numFmtId="0" xfId="0" applyAlignment="1" applyFill="1" applyFont="1">
      <alignment horizontal="left" readingOrder="0" vertical="center"/>
    </xf>
    <xf borderId="0" fillId="0" fontId="7" numFmtId="0" xfId="0" applyAlignment="1" applyFont="1">
      <alignment horizontal="center" readingOrder="0" vertical="center"/>
    </xf>
    <xf borderId="0" fillId="0" fontId="15" numFmtId="164" xfId="0" applyAlignment="1" applyFont="1" applyNumberFormat="1">
      <alignment readingOrder="0"/>
    </xf>
    <xf borderId="9" fillId="0" fontId="15" numFmtId="0" xfId="0" applyBorder="1" applyFont="1"/>
    <xf borderId="10" fillId="0" fontId="17" numFmtId="0" xfId="0" applyAlignment="1" applyBorder="1" applyFont="1">
      <alignment horizontal="center" readingOrder="0" vertical="center"/>
    </xf>
    <xf borderId="10" fillId="0" fontId="9" numFmtId="0" xfId="0" applyBorder="1" applyFont="1"/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4"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38100</xdr:colOff>
      <xdr:row>37</xdr:row>
      <xdr:rowOff>123825</xdr:rowOff>
    </xdr:from>
    <xdr:ext cx="2381250" cy="9048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657225</xdr:colOff>
      <xdr:row>37</xdr:row>
      <xdr:rowOff>180975</xdr:rowOff>
    </xdr:from>
    <xdr:ext cx="3314700" cy="9048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1238250</xdr:colOff>
      <xdr:row>59</xdr:row>
      <xdr:rowOff>152400</xdr:rowOff>
    </xdr:from>
    <xdr:ext cx="2057400" cy="581025"/>
    <xdr:pic>
      <xdr:nvPicPr>
        <xdr:cNvPr id="0" name="image3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9" max="9" width="17.5"/>
    <col customWidth="1" min="13" max="13" width="19.25"/>
    <col customWidth="1" min="14" max="14" width="18.13"/>
    <col customWidth="1" min="15" max="15" width="17.63"/>
    <col customWidth="1" min="16" max="16" width="16.0"/>
    <col customWidth="1" min="17" max="17" width="20.88"/>
    <col customWidth="1" min="18" max="18" width="19.38"/>
    <col customWidth="1" min="19" max="19" width="18.75"/>
    <col customWidth="1" min="21" max="21" width="17.88"/>
    <col customWidth="1" min="22" max="22" width="15.88"/>
  </cols>
  <sheetData>
    <row r="1">
      <c r="A1" s="1" t="s">
        <v>0</v>
      </c>
      <c r="K1" s="1"/>
    </row>
    <row r="2">
      <c r="A2" s="2"/>
      <c r="B2" s="2"/>
      <c r="C2" s="2"/>
      <c r="D2" s="3" t="s">
        <v>1</v>
      </c>
      <c r="H2" s="2"/>
      <c r="I2" s="2"/>
      <c r="J2" s="2"/>
      <c r="K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5" t="s">
        <v>12</v>
      </c>
      <c r="L3" s="5" t="s">
        <v>13</v>
      </c>
      <c r="Q3" s="6" t="s">
        <v>14</v>
      </c>
      <c r="S3" s="7" t="s">
        <v>15</v>
      </c>
    </row>
    <row r="4">
      <c r="A4" s="8">
        <v>134.0</v>
      </c>
      <c r="B4" s="2" t="s">
        <v>15</v>
      </c>
      <c r="C4" s="2" t="s">
        <v>16</v>
      </c>
      <c r="D4" s="2" t="s">
        <v>17</v>
      </c>
      <c r="E4" s="8">
        <v>96.0</v>
      </c>
      <c r="F4" s="8">
        <v>95.0</v>
      </c>
      <c r="G4" s="8">
        <v>94.0</v>
      </c>
      <c r="H4" s="9">
        <f t="shared" ref="H4:H202" si="1">SUM(E4:G4)</f>
        <v>285</v>
      </c>
      <c r="I4" s="10">
        <f t="shared" ref="I4:I202" si="2">if(or(E4&lt;40,F4&lt;40,G4&lt;40),"-",(H4)/300)</f>
        <v>0.95</v>
      </c>
      <c r="J4" s="9" t="str">
        <f t="shared" ref="J4:J202" si="3">if(I4 = "-","FAIL","PASS")</f>
        <v>PASS</v>
      </c>
      <c r="K4" s="9"/>
      <c r="L4" s="9">
        <f t="shared" ref="L4:L36" si="4">IF(I4="-","-",RANK(H4,$H$4:$H$203,0))</f>
        <v>1</v>
      </c>
    </row>
    <row r="5">
      <c r="A5" s="8">
        <v>12.0</v>
      </c>
      <c r="B5" s="2" t="s">
        <v>18</v>
      </c>
      <c r="C5" s="2" t="s">
        <v>19</v>
      </c>
      <c r="D5" s="2" t="s">
        <v>17</v>
      </c>
      <c r="E5" s="8">
        <v>96.0</v>
      </c>
      <c r="F5" s="8">
        <v>93.0</v>
      </c>
      <c r="G5" s="8">
        <v>95.0</v>
      </c>
      <c r="H5" s="9">
        <f t="shared" si="1"/>
        <v>284</v>
      </c>
      <c r="I5" s="10">
        <f t="shared" si="2"/>
        <v>0.9466666667</v>
      </c>
      <c r="J5" s="9" t="str">
        <f t="shared" si="3"/>
        <v>PASS</v>
      </c>
      <c r="K5" s="9"/>
      <c r="L5" s="9">
        <f t="shared" si="4"/>
        <v>2</v>
      </c>
      <c r="N5" s="11" t="s">
        <v>20</v>
      </c>
      <c r="O5" s="11" t="s">
        <v>21</v>
      </c>
    </row>
    <row r="6">
      <c r="A6" s="8">
        <v>144.0</v>
      </c>
      <c r="B6" s="2" t="s">
        <v>22</v>
      </c>
      <c r="C6" s="2" t="s">
        <v>23</v>
      </c>
      <c r="D6" s="2" t="s">
        <v>24</v>
      </c>
      <c r="E6" s="8">
        <v>95.0</v>
      </c>
      <c r="F6" s="8">
        <v>93.0</v>
      </c>
      <c r="G6" s="8">
        <v>96.0</v>
      </c>
      <c r="H6" s="9">
        <f t="shared" si="1"/>
        <v>284</v>
      </c>
      <c r="I6" s="10">
        <f t="shared" si="2"/>
        <v>0.9466666667</v>
      </c>
      <c r="J6" s="9" t="str">
        <f t="shared" si="3"/>
        <v>PASS</v>
      </c>
      <c r="K6" s="9"/>
      <c r="L6" s="9">
        <f t="shared" si="4"/>
        <v>2</v>
      </c>
      <c r="N6" s="12"/>
      <c r="O6" s="12"/>
      <c r="Q6" s="13" t="s">
        <v>4</v>
      </c>
      <c r="R6" s="13" t="s">
        <v>5</v>
      </c>
      <c r="S6" s="13" t="s">
        <v>6</v>
      </c>
      <c r="T6" s="13" t="s">
        <v>8</v>
      </c>
      <c r="U6" s="13" t="s">
        <v>9</v>
      </c>
      <c r="V6" s="13" t="s">
        <v>10</v>
      </c>
      <c r="W6" s="13" t="s">
        <v>11</v>
      </c>
      <c r="X6" s="14" t="s">
        <v>25</v>
      </c>
    </row>
    <row r="7">
      <c r="A7" s="8">
        <v>62.0</v>
      </c>
      <c r="B7" s="2" t="s">
        <v>26</v>
      </c>
      <c r="C7" s="2" t="s">
        <v>27</v>
      </c>
      <c r="D7" s="2" t="s">
        <v>28</v>
      </c>
      <c r="E7" s="8">
        <v>93.0</v>
      </c>
      <c r="F7" s="8">
        <v>96.0</v>
      </c>
      <c r="G7" s="8">
        <v>94.0</v>
      </c>
      <c r="H7" s="9">
        <f t="shared" si="1"/>
        <v>283</v>
      </c>
      <c r="I7" s="10">
        <f t="shared" si="2"/>
        <v>0.9433333333</v>
      </c>
      <c r="J7" s="9" t="str">
        <f t="shared" si="3"/>
        <v>PASS</v>
      </c>
      <c r="K7" s="9"/>
      <c r="L7" s="9">
        <f t="shared" si="4"/>
        <v>4</v>
      </c>
      <c r="M7" s="15"/>
      <c r="N7" s="16" t="s">
        <v>29</v>
      </c>
      <c r="O7" s="17">
        <f>COUNT(A4:A999)</f>
        <v>199</v>
      </c>
      <c r="Q7" s="12"/>
      <c r="R7" s="12"/>
      <c r="S7" s="12"/>
      <c r="T7" s="12"/>
      <c r="U7" s="12"/>
      <c r="V7" s="12"/>
      <c r="W7" s="12"/>
      <c r="X7" s="12"/>
    </row>
    <row r="8">
      <c r="A8" s="8">
        <v>95.0</v>
      </c>
      <c r="B8" s="2" t="s">
        <v>30</v>
      </c>
      <c r="C8" s="2" t="s">
        <v>31</v>
      </c>
      <c r="D8" s="2" t="s">
        <v>32</v>
      </c>
      <c r="E8" s="8">
        <v>94.0</v>
      </c>
      <c r="F8" s="8">
        <v>96.0</v>
      </c>
      <c r="G8" s="8">
        <v>93.0</v>
      </c>
      <c r="H8" s="9">
        <f t="shared" si="1"/>
        <v>283</v>
      </c>
      <c r="I8" s="10">
        <f t="shared" si="2"/>
        <v>0.9433333333</v>
      </c>
      <c r="J8" s="9" t="str">
        <f t="shared" si="3"/>
        <v>PASS</v>
      </c>
      <c r="K8" s="9"/>
      <c r="L8" s="9">
        <f t="shared" si="4"/>
        <v>4</v>
      </c>
      <c r="M8" s="15"/>
      <c r="N8" s="16" t="s">
        <v>33</v>
      </c>
      <c r="O8" s="17">
        <f>COUNTIF(J4:J999,"PASS")</f>
        <v>174</v>
      </c>
      <c r="Q8" s="18" t="str">
        <f t="array" ref="Q8">IFERROR(_xlfn.XLOOKUP(S3,B4:B999,C4:C999,"Not found"),"")</f>
        <v>Ananya Nair</v>
      </c>
      <c r="R8" s="18" t="str">
        <f t="array" ref="R8">IFERROR(_xlfn.XLOOKUP(S3,B4:B999,D4:D999,"Not found"),"")</f>
        <v>Bengaluru</v>
      </c>
      <c r="S8" s="18">
        <f t="array" ref="S8">IFERROR(_xlfn.XLOOKUP(S3,B4:B999,E4:E999,"Not found"),"")</f>
        <v>96</v>
      </c>
      <c r="T8" s="18">
        <f t="array" ref="T8">IFERROR(_xlfn.XLOOKUP(S3,B4:B999,G4:G999,"Not found"),"")</f>
        <v>94</v>
      </c>
      <c r="U8" s="18">
        <f t="array" ref="U8">IFERROR(_xlfn.XLOOKUP(S3,B4:B999,H4:H999,"Not found"),"")</f>
        <v>285</v>
      </c>
      <c r="V8" s="19">
        <f t="array" ref="V8">IFERROR(_xlfn.XLOOKUP(S3,B4:B999,I4:I999,"Not found"),"")</f>
        <v>0.95</v>
      </c>
      <c r="W8" s="18" t="str">
        <f t="array" ref="W8">IFERROR(_xlfn.XLOOKUP(S3,B4:B999,J4:J999,"Not found"),"")</f>
        <v>PASS</v>
      </c>
      <c r="X8" s="18">
        <f t="array" ref="X8">IFERROR(_xlfn.XLOOKUP(S3,B4:B999,L4:L999,"Not found"),"")</f>
        <v>1</v>
      </c>
    </row>
    <row r="9">
      <c r="A9" s="8">
        <v>122.0</v>
      </c>
      <c r="B9" s="2" t="s">
        <v>34</v>
      </c>
      <c r="C9" s="2" t="s">
        <v>35</v>
      </c>
      <c r="D9" s="2" t="s">
        <v>28</v>
      </c>
      <c r="E9" s="8">
        <v>96.0</v>
      </c>
      <c r="F9" s="8">
        <v>92.0</v>
      </c>
      <c r="G9" s="8">
        <v>95.0</v>
      </c>
      <c r="H9" s="9">
        <f t="shared" si="1"/>
        <v>283</v>
      </c>
      <c r="I9" s="10">
        <f t="shared" si="2"/>
        <v>0.9433333333</v>
      </c>
      <c r="J9" s="9" t="str">
        <f t="shared" si="3"/>
        <v>PASS</v>
      </c>
      <c r="K9" s="9"/>
      <c r="L9" s="9">
        <f t="shared" si="4"/>
        <v>4</v>
      </c>
      <c r="M9" s="15"/>
      <c r="N9" s="16" t="s">
        <v>36</v>
      </c>
      <c r="O9" s="17">
        <f>COUNTIF(J4:J999 , "FAIL")</f>
        <v>25</v>
      </c>
      <c r="Q9" s="12"/>
      <c r="R9" s="12"/>
      <c r="S9" s="12"/>
      <c r="T9" s="12"/>
      <c r="U9" s="12"/>
      <c r="V9" s="12"/>
      <c r="W9" s="12"/>
      <c r="X9" s="12"/>
    </row>
    <row r="10">
      <c r="A10" s="8">
        <v>154.0</v>
      </c>
      <c r="B10" s="2" t="s">
        <v>37</v>
      </c>
      <c r="C10" s="2" t="s">
        <v>38</v>
      </c>
      <c r="D10" s="2" t="s">
        <v>39</v>
      </c>
      <c r="E10" s="8">
        <v>96.0</v>
      </c>
      <c r="F10" s="8">
        <v>94.0</v>
      </c>
      <c r="G10" s="8">
        <v>93.0</v>
      </c>
      <c r="H10" s="9">
        <f t="shared" si="1"/>
        <v>283</v>
      </c>
      <c r="I10" s="10">
        <f t="shared" si="2"/>
        <v>0.9433333333</v>
      </c>
      <c r="J10" s="9" t="str">
        <f t="shared" si="3"/>
        <v>PASS</v>
      </c>
      <c r="K10" s="9"/>
      <c r="L10" s="9">
        <f t="shared" si="4"/>
        <v>4</v>
      </c>
    </row>
    <row r="11">
      <c r="A11" s="8">
        <v>162.0</v>
      </c>
      <c r="B11" s="2" t="s">
        <v>40</v>
      </c>
      <c r="C11" s="2" t="s">
        <v>41</v>
      </c>
      <c r="D11" s="2" t="s">
        <v>17</v>
      </c>
      <c r="E11" s="8">
        <v>93.0</v>
      </c>
      <c r="F11" s="8">
        <v>94.0</v>
      </c>
      <c r="G11" s="8">
        <v>96.0</v>
      </c>
      <c r="H11" s="9">
        <f t="shared" si="1"/>
        <v>283</v>
      </c>
      <c r="I11" s="10">
        <f t="shared" si="2"/>
        <v>0.9433333333</v>
      </c>
      <c r="J11" s="9" t="str">
        <f t="shared" si="3"/>
        <v>PASS</v>
      </c>
      <c r="K11" s="9"/>
      <c r="L11" s="9">
        <f t="shared" si="4"/>
        <v>4</v>
      </c>
      <c r="N11" s="11" t="s">
        <v>5</v>
      </c>
      <c r="O11" s="11" t="s">
        <v>42</v>
      </c>
      <c r="P11" s="11" t="s">
        <v>43</v>
      </c>
      <c r="Q11" s="11" t="s">
        <v>44</v>
      </c>
    </row>
    <row r="12">
      <c r="A12" s="8">
        <v>178.0</v>
      </c>
      <c r="B12" s="2" t="s">
        <v>45</v>
      </c>
      <c r="C12" s="2" t="s">
        <v>46</v>
      </c>
      <c r="D12" s="2" t="s">
        <v>47</v>
      </c>
      <c r="E12" s="8">
        <v>94.0</v>
      </c>
      <c r="F12" s="8">
        <v>93.0</v>
      </c>
      <c r="G12" s="8">
        <v>96.0</v>
      </c>
      <c r="H12" s="9">
        <f t="shared" si="1"/>
        <v>283</v>
      </c>
      <c r="I12" s="10">
        <f t="shared" si="2"/>
        <v>0.9433333333</v>
      </c>
      <c r="J12" s="9" t="str">
        <f t="shared" si="3"/>
        <v>PASS</v>
      </c>
      <c r="K12" s="9"/>
      <c r="L12" s="9">
        <f t="shared" si="4"/>
        <v>4</v>
      </c>
      <c r="M12" s="20"/>
      <c r="N12" s="12"/>
      <c r="O12" s="12"/>
      <c r="P12" s="12"/>
      <c r="Q12" s="12"/>
      <c r="S12" s="21" t="s">
        <v>48</v>
      </c>
    </row>
    <row r="13">
      <c r="A13" s="8">
        <v>192.0</v>
      </c>
      <c r="B13" s="2" t="s">
        <v>49</v>
      </c>
      <c r="C13" s="2" t="s">
        <v>50</v>
      </c>
      <c r="D13" s="2" t="s">
        <v>28</v>
      </c>
      <c r="E13" s="8">
        <v>94.0</v>
      </c>
      <c r="F13" s="8">
        <v>96.0</v>
      </c>
      <c r="G13" s="8">
        <v>93.0</v>
      </c>
      <c r="H13" s="9">
        <f t="shared" si="1"/>
        <v>283</v>
      </c>
      <c r="I13" s="10">
        <f t="shared" si="2"/>
        <v>0.9433333333</v>
      </c>
      <c r="J13" s="9" t="str">
        <f t="shared" si="3"/>
        <v>PASS</v>
      </c>
      <c r="K13" s="9"/>
      <c r="L13" s="9">
        <f t="shared" si="4"/>
        <v>4</v>
      </c>
      <c r="M13" s="20"/>
      <c r="N13" s="17" t="str">
        <f t="array" ref="N13:N37">UNIQUE(D4:D202)</f>
        <v>Bengaluru</v>
      </c>
      <c r="O13" s="17">
        <f t="shared" ref="O13:O15" si="5">COUNTIFS(D4:D202,N13,J4:J202,"PASS")</f>
        <v>5</v>
      </c>
      <c r="P13" s="17">
        <f t="shared" ref="P13:P15" si="6">COUNTIFS(D4:D202,N13,J4:J202,"FAIL")</f>
        <v>0</v>
      </c>
      <c r="Q13" s="17">
        <f t="shared" ref="Q13:Q36" si="7">SUM(O13:P13)</f>
        <v>5</v>
      </c>
      <c r="S13" s="21" t="s">
        <v>51</v>
      </c>
    </row>
    <row r="14">
      <c r="A14" s="8">
        <v>38.0</v>
      </c>
      <c r="B14" s="2" t="s">
        <v>52</v>
      </c>
      <c r="C14" s="2" t="s">
        <v>53</v>
      </c>
      <c r="D14" s="2" t="s">
        <v>54</v>
      </c>
      <c r="E14" s="8">
        <v>94.0</v>
      </c>
      <c r="F14" s="8">
        <v>92.0</v>
      </c>
      <c r="G14" s="8">
        <v>96.0</v>
      </c>
      <c r="H14" s="9">
        <f t="shared" si="1"/>
        <v>282</v>
      </c>
      <c r="I14" s="10">
        <f t="shared" si="2"/>
        <v>0.94</v>
      </c>
      <c r="J14" s="9" t="str">
        <f t="shared" si="3"/>
        <v>PASS</v>
      </c>
      <c r="K14" s="9"/>
      <c r="L14" s="9">
        <f t="shared" si="4"/>
        <v>11</v>
      </c>
      <c r="M14" s="20"/>
      <c r="N14" s="17" t="s">
        <v>24</v>
      </c>
      <c r="O14" s="17">
        <f t="shared" si="5"/>
        <v>2</v>
      </c>
      <c r="P14" s="17">
        <f t="shared" si="6"/>
        <v>0</v>
      </c>
      <c r="Q14" s="17">
        <f t="shared" si="7"/>
        <v>2</v>
      </c>
      <c r="S14" s="21" t="s">
        <v>55</v>
      </c>
    </row>
    <row r="15">
      <c r="A15" s="8">
        <v>70.0</v>
      </c>
      <c r="B15" s="2" t="s">
        <v>56</v>
      </c>
      <c r="C15" s="2" t="s">
        <v>57</v>
      </c>
      <c r="D15" s="2" t="s">
        <v>58</v>
      </c>
      <c r="E15" s="8">
        <v>96.0</v>
      </c>
      <c r="F15" s="8">
        <v>92.0</v>
      </c>
      <c r="G15" s="8">
        <v>94.0</v>
      </c>
      <c r="H15" s="9">
        <f t="shared" si="1"/>
        <v>282</v>
      </c>
      <c r="I15" s="10">
        <f t="shared" si="2"/>
        <v>0.94</v>
      </c>
      <c r="J15" s="9" t="str">
        <f t="shared" si="3"/>
        <v>PASS</v>
      </c>
      <c r="K15" s="9"/>
      <c r="L15" s="9">
        <f t="shared" si="4"/>
        <v>11</v>
      </c>
      <c r="M15" s="20"/>
      <c r="N15" s="17" t="s">
        <v>28</v>
      </c>
      <c r="O15" s="17">
        <f t="shared" si="5"/>
        <v>16</v>
      </c>
      <c r="P15" s="17">
        <f t="shared" si="6"/>
        <v>3</v>
      </c>
      <c r="Q15" s="17">
        <f t="shared" si="7"/>
        <v>19</v>
      </c>
      <c r="S15" s="21" t="s">
        <v>59</v>
      </c>
    </row>
    <row r="16">
      <c r="A16" s="8">
        <v>138.0</v>
      </c>
      <c r="B16" s="2" t="s">
        <v>60</v>
      </c>
      <c r="C16" s="2" t="s">
        <v>61</v>
      </c>
      <c r="D16" s="2" t="s">
        <v>62</v>
      </c>
      <c r="E16" s="8">
        <v>94.0</v>
      </c>
      <c r="F16" s="8">
        <v>92.0</v>
      </c>
      <c r="G16" s="8">
        <v>96.0</v>
      </c>
      <c r="H16" s="9">
        <f t="shared" si="1"/>
        <v>282</v>
      </c>
      <c r="I16" s="10">
        <f t="shared" si="2"/>
        <v>0.94</v>
      </c>
      <c r="J16" s="9" t="str">
        <f t="shared" si="3"/>
        <v>PASS</v>
      </c>
      <c r="K16" s="9"/>
      <c r="L16" s="9">
        <f t="shared" si="4"/>
        <v>11</v>
      </c>
      <c r="M16" s="22"/>
      <c r="N16" s="17" t="s">
        <v>32</v>
      </c>
      <c r="O16" s="17">
        <f t="shared" ref="O16:O24" si="8">COUNTIFS(D8:D206,N16,J8:J206,"PASS")</f>
        <v>2</v>
      </c>
      <c r="P16" s="17">
        <f t="shared" ref="P16:P24" si="9">COUNTIFS(D8:D206,N16,J8:J206,"FAIL")</f>
        <v>0</v>
      </c>
      <c r="Q16" s="17">
        <f t="shared" si="7"/>
        <v>2</v>
      </c>
    </row>
    <row r="17">
      <c r="A17" s="8">
        <v>148.0</v>
      </c>
      <c r="B17" s="2" t="s">
        <v>63</v>
      </c>
      <c r="C17" s="2" t="s">
        <v>64</v>
      </c>
      <c r="D17" s="2" t="s">
        <v>47</v>
      </c>
      <c r="E17" s="8">
        <v>94.0</v>
      </c>
      <c r="F17" s="8">
        <v>96.0</v>
      </c>
      <c r="G17" s="8">
        <v>92.0</v>
      </c>
      <c r="H17" s="9">
        <f t="shared" si="1"/>
        <v>282</v>
      </c>
      <c r="I17" s="10">
        <f t="shared" si="2"/>
        <v>0.94</v>
      </c>
      <c r="J17" s="9" t="str">
        <f t="shared" si="3"/>
        <v>PASS</v>
      </c>
      <c r="K17" s="9"/>
      <c r="L17" s="9">
        <f t="shared" si="4"/>
        <v>11</v>
      </c>
      <c r="M17" s="22"/>
      <c r="N17" s="17" t="s">
        <v>39</v>
      </c>
      <c r="O17" s="17">
        <f t="shared" si="8"/>
        <v>7</v>
      </c>
      <c r="P17" s="17">
        <f t="shared" si="9"/>
        <v>2</v>
      </c>
      <c r="Q17" s="17">
        <f t="shared" si="7"/>
        <v>9</v>
      </c>
      <c r="S17" s="21" t="s">
        <v>65</v>
      </c>
    </row>
    <row r="18">
      <c r="A18" s="8">
        <v>198.0</v>
      </c>
      <c r="B18" s="2" t="s">
        <v>66</v>
      </c>
      <c r="C18" s="2" t="s">
        <v>67</v>
      </c>
      <c r="D18" s="2" t="s">
        <v>28</v>
      </c>
      <c r="E18" s="8">
        <v>92.0</v>
      </c>
      <c r="F18" s="8">
        <v>94.0</v>
      </c>
      <c r="G18" s="8">
        <v>96.0</v>
      </c>
      <c r="H18" s="9">
        <f t="shared" si="1"/>
        <v>282</v>
      </c>
      <c r="I18" s="10">
        <f t="shared" si="2"/>
        <v>0.94</v>
      </c>
      <c r="J18" s="9" t="str">
        <f t="shared" si="3"/>
        <v>PASS</v>
      </c>
      <c r="K18" s="9"/>
      <c r="L18" s="9">
        <f t="shared" si="4"/>
        <v>11</v>
      </c>
      <c r="M18" s="22"/>
      <c r="N18" s="17" t="s">
        <v>47</v>
      </c>
      <c r="O18" s="17">
        <f t="shared" si="8"/>
        <v>4</v>
      </c>
      <c r="P18" s="17">
        <f t="shared" si="9"/>
        <v>1</v>
      </c>
      <c r="Q18" s="17">
        <f t="shared" si="7"/>
        <v>5</v>
      </c>
      <c r="S18" s="21" t="s">
        <v>51</v>
      </c>
    </row>
    <row r="19">
      <c r="A19" s="8">
        <v>52.0</v>
      </c>
      <c r="B19" s="2" t="s">
        <v>68</v>
      </c>
      <c r="C19" s="2" t="s">
        <v>69</v>
      </c>
      <c r="D19" s="2" t="s">
        <v>17</v>
      </c>
      <c r="E19" s="8">
        <v>94.0</v>
      </c>
      <c r="F19" s="8">
        <v>91.0</v>
      </c>
      <c r="G19" s="8">
        <v>96.0</v>
      </c>
      <c r="H19" s="9">
        <f t="shared" si="1"/>
        <v>281</v>
      </c>
      <c r="I19" s="10">
        <f t="shared" si="2"/>
        <v>0.9366666667</v>
      </c>
      <c r="J19" s="9" t="str">
        <f t="shared" si="3"/>
        <v>PASS</v>
      </c>
      <c r="K19" s="9"/>
      <c r="L19" s="9">
        <f t="shared" si="4"/>
        <v>16</v>
      </c>
      <c r="M19" s="22"/>
      <c r="N19" s="17" t="s">
        <v>54</v>
      </c>
      <c r="O19" s="17">
        <f t="shared" si="8"/>
        <v>18</v>
      </c>
      <c r="P19" s="17">
        <f t="shared" si="9"/>
        <v>2</v>
      </c>
      <c r="Q19" s="17">
        <f t="shared" si="7"/>
        <v>20</v>
      </c>
      <c r="S19" s="21" t="s">
        <v>55</v>
      </c>
    </row>
    <row r="20">
      <c r="A20" s="8">
        <v>112.0</v>
      </c>
      <c r="B20" s="2" t="s">
        <v>70</v>
      </c>
      <c r="C20" s="2" t="s">
        <v>71</v>
      </c>
      <c r="D20" s="2" t="s">
        <v>39</v>
      </c>
      <c r="E20" s="8">
        <v>94.0</v>
      </c>
      <c r="F20" s="8">
        <v>95.0</v>
      </c>
      <c r="G20" s="8">
        <v>92.0</v>
      </c>
      <c r="H20" s="9">
        <f t="shared" si="1"/>
        <v>281</v>
      </c>
      <c r="I20" s="10">
        <f t="shared" si="2"/>
        <v>0.9366666667</v>
      </c>
      <c r="J20" s="9" t="str">
        <f t="shared" si="3"/>
        <v>PASS</v>
      </c>
      <c r="K20" s="9"/>
      <c r="L20" s="9">
        <f t="shared" si="4"/>
        <v>16</v>
      </c>
      <c r="N20" s="17" t="s">
        <v>58</v>
      </c>
      <c r="O20" s="17">
        <f t="shared" si="8"/>
        <v>11</v>
      </c>
      <c r="P20" s="17">
        <f t="shared" si="9"/>
        <v>2</v>
      </c>
      <c r="Q20" s="17">
        <f t="shared" si="7"/>
        <v>13</v>
      </c>
      <c r="S20" s="21" t="s">
        <v>59</v>
      </c>
    </row>
    <row r="21">
      <c r="A21" s="8">
        <v>166.0</v>
      </c>
      <c r="B21" s="2" t="s">
        <v>72</v>
      </c>
      <c r="C21" s="2" t="s">
        <v>73</v>
      </c>
      <c r="D21" s="2" t="s">
        <v>28</v>
      </c>
      <c r="E21" s="8">
        <v>95.0</v>
      </c>
      <c r="F21" s="8">
        <v>92.0</v>
      </c>
      <c r="G21" s="8">
        <v>94.0</v>
      </c>
      <c r="H21" s="9">
        <f t="shared" si="1"/>
        <v>281</v>
      </c>
      <c r="I21" s="10">
        <f t="shared" si="2"/>
        <v>0.9366666667</v>
      </c>
      <c r="J21" s="9" t="str">
        <f t="shared" si="3"/>
        <v>PASS</v>
      </c>
      <c r="K21" s="9"/>
      <c r="L21" s="9">
        <f t="shared" si="4"/>
        <v>16</v>
      </c>
      <c r="N21" s="17" t="s">
        <v>62</v>
      </c>
      <c r="O21" s="17">
        <f t="shared" si="8"/>
        <v>8</v>
      </c>
      <c r="P21" s="17">
        <f t="shared" si="9"/>
        <v>0</v>
      </c>
      <c r="Q21" s="17">
        <f t="shared" si="7"/>
        <v>8</v>
      </c>
    </row>
    <row r="22">
      <c r="A22" s="8">
        <v>182.0</v>
      </c>
      <c r="B22" s="2" t="s">
        <v>74</v>
      </c>
      <c r="C22" s="2" t="s">
        <v>75</v>
      </c>
      <c r="D22" s="2" t="s">
        <v>28</v>
      </c>
      <c r="E22" s="8">
        <v>95.0</v>
      </c>
      <c r="F22" s="8">
        <v>94.0</v>
      </c>
      <c r="G22" s="8">
        <v>92.0</v>
      </c>
      <c r="H22" s="9">
        <f t="shared" si="1"/>
        <v>281</v>
      </c>
      <c r="I22" s="10">
        <f t="shared" si="2"/>
        <v>0.9366666667</v>
      </c>
      <c r="J22" s="9" t="str">
        <f t="shared" si="3"/>
        <v>PASS</v>
      </c>
      <c r="K22" s="9"/>
      <c r="L22" s="9">
        <f t="shared" si="4"/>
        <v>16</v>
      </c>
      <c r="N22" s="17" t="s">
        <v>76</v>
      </c>
      <c r="O22" s="17">
        <f t="shared" si="8"/>
        <v>1</v>
      </c>
      <c r="P22" s="17">
        <f t="shared" si="9"/>
        <v>2</v>
      </c>
      <c r="Q22" s="17">
        <f t="shared" si="7"/>
        <v>3</v>
      </c>
    </row>
    <row r="23">
      <c r="A23" s="8">
        <v>16.0</v>
      </c>
      <c r="B23" s="2" t="s">
        <v>77</v>
      </c>
      <c r="C23" s="2" t="s">
        <v>78</v>
      </c>
      <c r="D23" s="2" t="s">
        <v>76</v>
      </c>
      <c r="E23" s="8">
        <v>93.0</v>
      </c>
      <c r="F23" s="8">
        <v>95.0</v>
      </c>
      <c r="G23" s="8">
        <v>92.0</v>
      </c>
      <c r="H23" s="9">
        <f t="shared" si="1"/>
        <v>280</v>
      </c>
      <c r="I23" s="10">
        <f t="shared" si="2"/>
        <v>0.9333333333</v>
      </c>
      <c r="J23" s="9" t="str">
        <f t="shared" si="3"/>
        <v>PASS</v>
      </c>
      <c r="K23" s="9"/>
      <c r="L23" s="9">
        <f t="shared" si="4"/>
        <v>20</v>
      </c>
      <c r="N23" s="17" t="s">
        <v>79</v>
      </c>
      <c r="O23" s="17">
        <f t="shared" si="8"/>
        <v>39</v>
      </c>
      <c r="P23" s="17">
        <f t="shared" si="9"/>
        <v>5</v>
      </c>
      <c r="Q23" s="17">
        <f t="shared" si="7"/>
        <v>44</v>
      </c>
    </row>
    <row r="24">
      <c r="A24" s="8">
        <v>100.0</v>
      </c>
      <c r="B24" s="2" t="s">
        <v>80</v>
      </c>
      <c r="C24" s="2" t="s">
        <v>81</v>
      </c>
      <c r="D24" s="2" t="s">
        <v>79</v>
      </c>
      <c r="E24" s="8">
        <v>95.0</v>
      </c>
      <c r="F24" s="8">
        <v>91.0</v>
      </c>
      <c r="G24" s="8">
        <v>94.0</v>
      </c>
      <c r="H24" s="9">
        <f t="shared" si="1"/>
        <v>280</v>
      </c>
      <c r="I24" s="10">
        <f t="shared" si="2"/>
        <v>0.9333333333</v>
      </c>
      <c r="J24" s="9" t="str">
        <f t="shared" si="3"/>
        <v>PASS</v>
      </c>
      <c r="K24" s="9"/>
      <c r="L24" s="9">
        <f t="shared" si="4"/>
        <v>20</v>
      </c>
      <c r="N24" s="17" t="s">
        <v>82</v>
      </c>
      <c r="O24" s="17">
        <f t="shared" si="8"/>
        <v>12</v>
      </c>
      <c r="P24" s="17">
        <f t="shared" si="9"/>
        <v>1</v>
      </c>
      <c r="Q24" s="17">
        <f t="shared" si="7"/>
        <v>13</v>
      </c>
    </row>
    <row r="25">
      <c r="A25" s="8">
        <v>128.0</v>
      </c>
      <c r="B25" s="2" t="s">
        <v>83</v>
      </c>
      <c r="C25" s="2" t="s">
        <v>84</v>
      </c>
      <c r="D25" s="2" t="s">
        <v>28</v>
      </c>
      <c r="E25" s="8">
        <v>94.0</v>
      </c>
      <c r="F25" s="8">
        <v>90.0</v>
      </c>
      <c r="G25" s="8">
        <v>96.0</v>
      </c>
      <c r="H25" s="9">
        <f t="shared" si="1"/>
        <v>280</v>
      </c>
      <c r="I25" s="10">
        <f t="shared" si="2"/>
        <v>0.9333333333</v>
      </c>
      <c r="J25" s="9" t="str">
        <f t="shared" si="3"/>
        <v>PASS</v>
      </c>
      <c r="K25" s="9"/>
      <c r="L25" s="9">
        <f t="shared" si="4"/>
        <v>20</v>
      </c>
      <c r="N25" s="17" t="s">
        <v>85</v>
      </c>
      <c r="O25" s="17">
        <f t="shared" ref="O25:O36" si="10">COUNTIFS(D16:D215,N25,J16:J215,"PASS")</f>
        <v>8</v>
      </c>
      <c r="P25" s="17">
        <f t="shared" ref="P25:P36" si="11">COUNTIFS(D16:D215,N25,J16:J215,"FAIL")</f>
        <v>2</v>
      </c>
      <c r="Q25" s="17">
        <f t="shared" si="7"/>
        <v>10</v>
      </c>
    </row>
    <row r="26">
      <c r="A26" s="8">
        <v>172.0</v>
      </c>
      <c r="B26" s="2" t="s">
        <v>86</v>
      </c>
      <c r="C26" s="2" t="s">
        <v>87</v>
      </c>
      <c r="D26" s="2" t="s">
        <v>58</v>
      </c>
      <c r="E26" s="8">
        <v>93.0</v>
      </c>
      <c r="F26" s="8">
        <v>95.0</v>
      </c>
      <c r="G26" s="8">
        <v>92.0</v>
      </c>
      <c r="H26" s="9">
        <f t="shared" si="1"/>
        <v>280</v>
      </c>
      <c r="I26" s="10">
        <f t="shared" si="2"/>
        <v>0.9333333333</v>
      </c>
      <c r="J26" s="9" t="str">
        <f t="shared" si="3"/>
        <v>PASS</v>
      </c>
      <c r="K26" s="9"/>
      <c r="L26" s="9">
        <f t="shared" si="4"/>
        <v>20</v>
      </c>
      <c r="N26" s="17" t="s">
        <v>88</v>
      </c>
      <c r="O26" s="17">
        <f t="shared" si="10"/>
        <v>4</v>
      </c>
      <c r="P26" s="17">
        <f t="shared" si="11"/>
        <v>2</v>
      </c>
      <c r="Q26" s="17">
        <f t="shared" si="7"/>
        <v>6</v>
      </c>
    </row>
    <row r="27">
      <c r="A27" s="8">
        <v>200.0</v>
      </c>
      <c r="B27" s="2" t="s">
        <v>89</v>
      </c>
      <c r="C27" s="2" t="s">
        <v>90</v>
      </c>
      <c r="D27" s="2" t="s">
        <v>82</v>
      </c>
      <c r="E27" s="8">
        <v>94.0</v>
      </c>
      <c r="F27" s="8">
        <v>91.0</v>
      </c>
      <c r="G27" s="8">
        <v>95.0</v>
      </c>
      <c r="H27" s="9">
        <f t="shared" si="1"/>
        <v>280</v>
      </c>
      <c r="I27" s="10">
        <f t="shared" si="2"/>
        <v>0.9333333333</v>
      </c>
      <c r="J27" s="9" t="str">
        <f t="shared" si="3"/>
        <v>PASS</v>
      </c>
      <c r="K27" s="9"/>
      <c r="L27" s="9">
        <f t="shared" si="4"/>
        <v>20</v>
      </c>
      <c r="N27" s="17" t="s">
        <v>91</v>
      </c>
      <c r="O27" s="17">
        <f t="shared" si="10"/>
        <v>8</v>
      </c>
      <c r="P27" s="17">
        <f t="shared" si="11"/>
        <v>0</v>
      </c>
      <c r="Q27" s="17">
        <f t="shared" si="7"/>
        <v>8</v>
      </c>
    </row>
    <row r="28">
      <c r="A28" s="8">
        <v>6.0</v>
      </c>
      <c r="B28" s="2" t="s">
        <v>92</v>
      </c>
      <c r="C28" s="2" t="s">
        <v>93</v>
      </c>
      <c r="D28" s="2" t="s">
        <v>58</v>
      </c>
      <c r="E28" s="8">
        <v>95.0</v>
      </c>
      <c r="F28" s="8">
        <v>91.0</v>
      </c>
      <c r="G28" s="8">
        <v>93.0</v>
      </c>
      <c r="H28" s="9">
        <f t="shared" si="1"/>
        <v>279</v>
      </c>
      <c r="I28" s="10">
        <f t="shared" si="2"/>
        <v>0.93</v>
      </c>
      <c r="J28" s="9" t="str">
        <f t="shared" si="3"/>
        <v>PASS</v>
      </c>
      <c r="K28" s="9"/>
      <c r="L28" s="9">
        <f t="shared" si="4"/>
        <v>25</v>
      </c>
      <c r="N28" s="17" t="s">
        <v>94</v>
      </c>
      <c r="O28" s="17">
        <f t="shared" si="10"/>
        <v>10</v>
      </c>
      <c r="P28" s="17">
        <f t="shared" si="11"/>
        <v>0</v>
      </c>
      <c r="Q28" s="17">
        <f t="shared" si="7"/>
        <v>10</v>
      </c>
    </row>
    <row r="29">
      <c r="A29" s="8">
        <v>28.0</v>
      </c>
      <c r="B29" s="2" t="s">
        <v>95</v>
      </c>
      <c r="C29" s="2" t="s">
        <v>96</v>
      </c>
      <c r="D29" s="2" t="s">
        <v>79</v>
      </c>
      <c r="E29" s="8">
        <v>95.0</v>
      </c>
      <c r="F29" s="8">
        <v>90.0</v>
      </c>
      <c r="G29" s="8">
        <v>94.0</v>
      </c>
      <c r="H29" s="9">
        <f t="shared" si="1"/>
        <v>279</v>
      </c>
      <c r="I29" s="10">
        <f t="shared" si="2"/>
        <v>0.93</v>
      </c>
      <c r="J29" s="9" t="str">
        <f t="shared" si="3"/>
        <v>PASS</v>
      </c>
      <c r="K29" s="9"/>
      <c r="L29" s="9">
        <f t="shared" si="4"/>
        <v>25</v>
      </c>
      <c r="N29" s="17" t="s">
        <v>97</v>
      </c>
      <c r="O29" s="17">
        <f t="shared" si="10"/>
        <v>1</v>
      </c>
      <c r="P29" s="17">
        <f t="shared" si="11"/>
        <v>0</v>
      </c>
      <c r="Q29" s="17">
        <f t="shared" si="7"/>
        <v>1</v>
      </c>
    </row>
    <row r="30">
      <c r="A30" s="8">
        <v>59.0</v>
      </c>
      <c r="B30" s="2" t="s">
        <v>98</v>
      </c>
      <c r="C30" s="2" t="s">
        <v>99</v>
      </c>
      <c r="D30" s="2" t="s">
        <v>28</v>
      </c>
      <c r="E30" s="8">
        <v>95.0</v>
      </c>
      <c r="F30" s="8">
        <v>93.0</v>
      </c>
      <c r="G30" s="8">
        <v>91.0</v>
      </c>
      <c r="H30" s="9">
        <f t="shared" si="1"/>
        <v>279</v>
      </c>
      <c r="I30" s="10">
        <f t="shared" si="2"/>
        <v>0.93</v>
      </c>
      <c r="J30" s="9" t="str">
        <f t="shared" si="3"/>
        <v>PASS</v>
      </c>
      <c r="K30" s="9"/>
      <c r="L30" s="9">
        <f t="shared" si="4"/>
        <v>25</v>
      </c>
      <c r="N30" s="17" t="s">
        <v>100</v>
      </c>
      <c r="O30" s="17">
        <f t="shared" si="10"/>
        <v>1</v>
      </c>
      <c r="P30" s="17">
        <f t="shared" si="11"/>
        <v>1</v>
      </c>
      <c r="Q30" s="17">
        <f t="shared" si="7"/>
        <v>2</v>
      </c>
    </row>
    <row r="31">
      <c r="A31" s="8">
        <v>142.0</v>
      </c>
      <c r="B31" s="2" t="s">
        <v>101</v>
      </c>
      <c r="C31" s="2" t="s">
        <v>102</v>
      </c>
      <c r="D31" s="2" t="s">
        <v>79</v>
      </c>
      <c r="E31" s="8">
        <v>93.0</v>
      </c>
      <c r="F31" s="8">
        <v>91.0</v>
      </c>
      <c r="G31" s="8">
        <v>95.0</v>
      </c>
      <c r="H31" s="9">
        <f t="shared" si="1"/>
        <v>279</v>
      </c>
      <c r="I31" s="10">
        <f t="shared" si="2"/>
        <v>0.93</v>
      </c>
      <c r="J31" s="9" t="str">
        <f t="shared" si="3"/>
        <v>PASS</v>
      </c>
      <c r="K31" s="9"/>
      <c r="L31" s="9">
        <f t="shared" si="4"/>
        <v>25</v>
      </c>
      <c r="N31" s="17" t="s">
        <v>103</v>
      </c>
      <c r="O31" s="17">
        <f t="shared" si="10"/>
        <v>6</v>
      </c>
      <c r="P31" s="17">
        <f t="shared" si="11"/>
        <v>0</v>
      </c>
      <c r="Q31" s="17">
        <f t="shared" si="7"/>
        <v>6</v>
      </c>
    </row>
    <row r="32">
      <c r="A32" s="8">
        <v>156.0</v>
      </c>
      <c r="B32" s="2" t="s">
        <v>104</v>
      </c>
      <c r="C32" s="2" t="s">
        <v>105</v>
      </c>
      <c r="D32" s="2" t="s">
        <v>28</v>
      </c>
      <c r="E32" s="8">
        <v>91.0</v>
      </c>
      <c r="F32" s="8">
        <v>93.0</v>
      </c>
      <c r="G32" s="8">
        <v>95.0</v>
      </c>
      <c r="H32" s="9">
        <f t="shared" si="1"/>
        <v>279</v>
      </c>
      <c r="I32" s="10">
        <f t="shared" si="2"/>
        <v>0.93</v>
      </c>
      <c r="J32" s="9" t="str">
        <f t="shared" si="3"/>
        <v>PASS</v>
      </c>
      <c r="K32" s="9"/>
      <c r="L32" s="9">
        <f t="shared" si="4"/>
        <v>25</v>
      </c>
      <c r="N32" s="17" t="s">
        <v>106</v>
      </c>
      <c r="O32" s="17">
        <f t="shared" si="10"/>
        <v>2</v>
      </c>
      <c r="P32" s="17">
        <f t="shared" si="11"/>
        <v>0</v>
      </c>
      <c r="Q32" s="17">
        <f t="shared" si="7"/>
        <v>2</v>
      </c>
    </row>
    <row r="33">
      <c r="A33" s="8">
        <v>168.0</v>
      </c>
      <c r="B33" s="2" t="s">
        <v>107</v>
      </c>
      <c r="C33" s="2" t="s">
        <v>108</v>
      </c>
      <c r="D33" s="2" t="s">
        <v>79</v>
      </c>
      <c r="E33" s="8">
        <v>92.0</v>
      </c>
      <c r="F33" s="8">
        <v>96.0</v>
      </c>
      <c r="G33" s="8">
        <v>91.0</v>
      </c>
      <c r="H33" s="9">
        <f t="shared" si="1"/>
        <v>279</v>
      </c>
      <c r="I33" s="10">
        <f t="shared" si="2"/>
        <v>0.93</v>
      </c>
      <c r="J33" s="9" t="str">
        <f t="shared" si="3"/>
        <v>PASS</v>
      </c>
      <c r="K33" s="9"/>
      <c r="L33" s="9">
        <f t="shared" si="4"/>
        <v>25</v>
      </c>
      <c r="N33" s="17" t="s">
        <v>109</v>
      </c>
      <c r="O33" s="17">
        <f t="shared" si="10"/>
        <v>1</v>
      </c>
      <c r="P33" s="17">
        <f t="shared" si="11"/>
        <v>0</v>
      </c>
      <c r="Q33" s="17">
        <f t="shared" si="7"/>
        <v>1</v>
      </c>
    </row>
    <row r="34">
      <c r="A34" s="8">
        <v>184.0</v>
      </c>
      <c r="B34" s="2" t="s">
        <v>110</v>
      </c>
      <c r="C34" s="2" t="s">
        <v>111</v>
      </c>
      <c r="D34" s="2" t="s">
        <v>54</v>
      </c>
      <c r="E34" s="8">
        <v>92.0</v>
      </c>
      <c r="F34" s="8">
        <v>91.0</v>
      </c>
      <c r="G34" s="8">
        <v>96.0</v>
      </c>
      <c r="H34" s="9">
        <f t="shared" si="1"/>
        <v>279</v>
      </c>
      <c r="I34" s="10">
        <f t="shared" si="2"/>
        <v>0.93</v>
      </c>
      <c r="J34" s="9" t="str">
        <f t="shared" si="3"/>
        <v>PASS</v>
      </c>
      <c r="K34" s="9"/>
      <c r="L34" s="9">
        <f t="shared" si="4"/>
        <v>25</v>
      </c>
      <c r="N34" s="17" t="s">
        <v>112</v>
      </c>
      <c r="O34" s="17">
        <f t="shared" si="10"/>
        <v>4</v>
      </c>
      <c r="P34" s="17">
        <f t="shared" si="11"/>
        <v>1</v>
      </c>
      <c r="Q34" s="17">
        <f t="shared" si="7"/>
        <v>5</v>
      </c>
    </row>
    <row r="35">
      <c r="A35" s="8">
        <v>170.0</v>
      </c>
      <c r="B35" s="2" t="s">
        <v>113</v>
      </c>
      <c r="C35" s="2" t="s">
        <v>114</v>
      </c>
      <c r="D35" s="2" t="s">
        <v>62</v>
      </c>
      <c r="E35" s="8">
        <v>94.0</v>
      </c>
      <c r="F35" s="8">
        <v>89.0</v>
      </c>
      <c r="G35" s="8">
        <v>95.0</v>
      </c>
      <c r="H35" s="9">
        <f t="shared" si="1"/>
        <v>278</v>
      </c>
      <c r="I35" s="10">
        <f t="shared" si="2"/>
        <v>0.9266666667</v>
      </c>
      <c r="J35" s="9" t="str">
        <f t="shared" si="3"/>
        <v>PASS</v>
      </c>
      <c r="K35" s="9"/>
      <c r="L35" s="9">
        <f t="shared" si="4"/>
        <v>32</v>
      </c>
      <c r="N35" s="17" t="s">
        <v>115</v>
      </c>
      <c r="O35" s="17">
        <f t="shared" si="10"/>
        <v>1</v>
      </c>
      <c r="P35" s="17">
        <f t="shared" si="11"/>
        <v>0</v>
      </c>
      <c r="Q35" s="17">
        <f t="shared" si="7"/>
        <v>1</v>
      </c>
    </row>
    <row r="36">
      <c r="A36" s="8">
        <v>186.0</v>
      </c>
      <c r="B36" s="2" t="s">
        <v>116</v>
      </c>
      <c r="C36" s="2" t="s">
        <v>117</v>
      </c>
      <c r="D36" s="2" t="s">
        <v>62</v>
      </c>
      <c r="E36" s="8">
        <v>93.0</v>
      </c>
      <c r="F36" s="8">
        <v>95.0</v>
      </c>
      <c r="G36" s="8">
        <v>90.0</v>
      </c>
      <c r="H36" s="9">
        <f t="shared" si="1"/>
        <v>278</v>
      </c>
      <c r="I36" s="10">
        <f t="shared" si="2"/>
        <v>0.9266666667</v>
      </c>
      <c r="J36" s="9" t="str">
        <f t="shared" si="3"/>
        <v>PASS</v>
      </c>
      <c r="K36" s="9"/>
      <c r="L36" s="9">
        <f t="shared" si="4"/>
        <v>32</v>
      </c>
      <c r="N36" s="17" t="s">
        <v>118</v>
      </c>
      <c r="O36" s="17">
        <f t="shared" si="10"/>
        <v>2</v>
      </c>
      <c r="P36" s="17">
        <f t="shared" si="11"/>
        <v>1</v>
      </c>
      <c r="Q36" s="17">
        <f t="shared" si="7"/>
        <v>3</v>
      </c>
    </row>
    <row r="37" ht="42.0" customHeight="1">
      <c r="A37" s="8">
        <v>77.0</v>
      </c>
      <c r="B37" s="2" t="s">
        <v>119</v>
      </c>
      <c r="C37" s="2" t="s">
        <v>120</v>
      </c>
      <c r="D37" s="2" t="s">
        <v>54</v>
      </c>
      <c r="E37" s="8">
        <v>95.0</v>
      </c>
      <c r="F37" s="8">
        <v>89.0</v>
      </c>
      <c r="G37" s="8">
        <v>93.0</v>
      </c>
      <c r="H37" s="9">
        <f t="shared" si="1"/>
        <v>277</v>
      </c>
      <c r="I37" s="10">
        <f t="shared" si="2"/>
        <v>0.9233333333</v>
      </c>
      <c r="J37" s="9" t="str">
        <f t="shared" si="3"/>
        <v>PASS</v>
      </c>
      <c r="K37" s="9"/>
      <c r="L37" s="9"/>
      <c r="M37" s="23" t="s">
        <v>121</v>
      </c>
      <c r="O37" s="24" t="s">
        <v>52</v>
      </c>
    </row>
    <row r="38">
      <c r="A38" s="8">
        <v>104.0</v>
      </c>
      <c r="B38" s="2" t="s">
        <v>122</v>
      </c>
      <c r="C38" s="2" t="s">
        <v>123</v>
      </c>
      <c r="D38" s="2" t="s">
        <v>54</v>
      </c>
      <c r="E38" s="8">
        <v>93.0</v>
      </c>
      <c r="F38" s="8">
        <v>89.0</v>
      </c>
      <c r="G38" s="8">
        <v>95.0</v>
      </c>
      <c r="H38" s="9">
        <f t="shared" si="1"/>
        <v>277</v>
      </c>
      <c r="I38" s="10">
        <f t="shared" si="2"/>
        <v>0.9233333333</v>
      </c>
      <c r="J38" s="9" t="str">
        <f t="shared" si="3"/>
        <v>PASS</v>
      </c>
      <c r="K38" s="9"/>
      <c r="L38" s="9">
        <f t="shared" ref="L38:L202" si="12">IF(I38="-","-",RANK(H38,$H$4:$H$203,0))</f>
        <v>34</v>
      </c>
      <c r="N38" s="25"/>
      <c r="O38" s="26"/>
      <c r="P38" s="26"/>
      <c r="Q38" s="26"/>
      <c r="R38" s="26"/>
      <c r="S38" s="27"/>
    </row>
    <row r="39">
      <c r="A39" s="8">
        <v>150.0</v>
      </c>
      <c r="B39" s="2" t="s">
        <v>124</v>
      </c>
      <c r="C39" s="2" t="s">
        <v>125</v>
      </c>
      <c r="D39" s="2" t="s">
        <v>62</v>
      </c>
      <c r="E39" s="8">
        <v>92.0</v>
      </c>
      <c r="F39" s="8">
        <v>90.0</v>
      </c>
      <c r="G39" s="8">
        <v>95.0</v>
      </c>
      <c r="H39" s="9">
        <f t="shared" si="1"/>
        <v>277</v>
      </c>
      <c r="I39" s="10">
        <f t="shared" si="2"/>
        <v>0.9233333333</v>
      </c>
      <c r="J39" s="9" t="str">
        <f t="shared" si="3"/>
        <v>PASS</v>
      </c>
      <c r="K39" s="9"/>
      <c r="L39" s="9">
        <f t="shared" si="12"/>
        <v>34</v>
      </c>
      <c r="N39" s="28"/>
      <c r="S39" s="29"/>
    </row>
    <row r="40">
      <c r="A40" s="8">
        <v>24.0</v>
      </c>
      <c r="B40" s="2" t="s">
        <v>126</v>
      </c>
      <c r="C40" s="2" t="s">
        <v>127</v>
      </c>
      <c r="D40" s="2" t="s">
        <v>32</v>
      </c>
      <c r="E40" s="8">
        <v>92.0</v>
      </c>
      <c r="F40" s="8">
        <v>94.0</v>
      </c>
      <c r="G40" s="8">
        <v>90.0</v>
      </c>
      <c r="H40" s="9">
        <f t="shared" si="1"/>
        <v>276</v>
      </c>
      <c r="I40" s="10">
        <f t="shared" si="2"/>
        <v>0.92</v>
      </c>
      <c r="J40" s="9" t="str">
        <f t="shared" si="3"/>
        <v>PASS</v>
      </c>
      <c r="K40" s="9"/>
      <c r="L40" s="9">
        <f t="shared" si="12"/>
        <v>37</v>
      </c>
      <c r="N40" s="28"/>
      <c r="S40" s="29"/>
    </row>
    <row r="41">
      <c r="A41" s="8">
        <v>32.0</v>
      </c>
      <c r="B41" s="2" t="s">
        <v>128</v>
      </c>
      <c r="C41" s="2" t="s">
        <v>129</v>
      </c>
      <c r="D41" s="2" t="s">
        <v>79</v>
      </c>
      <c r="E41" s="8">
        <v>90.0</v>
      </c>
      <c r="F41" s="8">
        <v>95.0</v>
      </c>
      <c r="G41" s="8">
        <v>91.0</v>
      </c>
      <c r="H41" s="9">
        <f t="shared" si="1"/>
        <v>276</v>
      </c>
      <c r="I41" s="10">
        <f t="shared" si="2"/>
        <v>0.92</v>
      </c>
      <c r="J41" s="9" t="str">
        <f t="shared" si="3"/>
        <v>PASS</v>
      </c>
      <c r="K41" s="9"/>
      <c r="L41" s="9">
        <f t="shared" si="12"/>
        <v>37</v>
      </c>
      <c r="N41" s="28"/>
      <c r="S41" s="29"/>
    </row>
    <row r="42">
      <c r="A42" s="8">
        <v>66.0</v>
      </c>
      <c r="B42" s="2" t="s">
        <v>130</v>
      </c>
      <c r="C42" s="2" t="s">
        <v>131</v>
      </c>
      <c r="D42" s="2" t="s">
        <v>85</v>
      </c>
      <c r="E42" s="8">
        <v>94.0</v>
      </c>
      <c r="F42" s="8">
        <v>90.0</v>
      </c>
      <c r="G42" s="8">
        <v>92.0</v>
      </c>
      <c r="H42" s="9">
        <f t="shared" si="1"/>
        <v>276</v>
      </c>
      <c r="I42" s="10">
        <f t="shared" si="2"/>
        <v>0.92</v>
      </c>
      <c r="J42" s="9" t="str">
        <f t="shared" si="3"/>
        <v>PASS</v>
      </c>
      <c r="K42" s="9"/>
      <c r="L42" s="9">
        <f t="shared" si="12"/>
        <v>37</v>
      </c>
      <c r="N42" s="28"/>
      <c r="S42" s="29"/>
    </row>
    <row r="43">
      <c r="A43" s="8">
        <v>97.0</v>
      </c>
      <c r="B43" s="2" t="s">
        <v>132</v>
      </c>
      <c r="C43" s="2" t="s">
        <v>133</v>
      </c>
      <c r="D43" s="2" t="s">
        <v>17</v>
      </c>
      <c r="E43" s="8">
        <v>92.0</v>
      </c>
      <c r="F43" s="8">
        <v>89.0</v>
      </c>
      <c r="G43" s="8">
        <v>95.0</v>
      </c>
      <c r="H43" s="9">
        <f t="shared" si="1"/>
        <v>276</v>
      </c>
      <c r="I43" s="10">
        <f t="shared" si="2"/>
        <v>0.92</v>
      </c>
      <c r="J43" s="9" t="str">
        <f t="shared" si="3"/>
        <v>PASS</v>
      </c>
      <c r="K43" s="9"/>
      <c r="L43" s="9">
        <f t="shared" si="12"/>
        <v>37</v>
      </c>
      <c r="N43" s="28"/>
      <c r="S43" s="29"/>
    </row>
    <row r="44">
      <c r="A44" s="8">
        <v>158.0</v>
      </c>
      <c r="B44" s="2" t="s">
        <v>134</v>
      </c>
      <c r="C44" s="2" t="s">
        <v>135</v>
      </c>
      <c r="D44" s="2" t="s">
        <v>79</v>
      </c>
      <c r="E44" s="8">
        <v>94.0</v>
      </c>
      <c r="F44" s="8">
        <v>90.0</v>
      </c>
      <c r="G44" s="8">
        <v>92.0</v>
      </c>
      <c r="H44" s="9">
        <f t="shared" si="1"/>
        <v>276</v>
      </c>
      <c r="I44" s="10">
        <f t="shared" si="2"/>
        <v>0.92</v>
      </c>
      <c r="J44" s="9" t="str">
        <f t="shared" si="3"/>
        <v>PASS</v>
      </c>
      <c r="K44" s="9"/>
      <c r="L44" s="9">
        <f t="shared" si="12"/>
        <v>37</v>
      </c>
      <c r="N44" s="28"/>
      <c r="S44" s="29"/>
    </row>
    <row r="45">
      <c r="A45" s="8">
        <v>55.0</v>
      </c>
      <c r="B45" s="2" t="s">
        <v>136</v>
      </c>
      <c r="C45" s="2" t="s">
        <v>137</v>
      </c>
      <c r="D45" s="2" t="s">
        <v>79</v>
      </c>
      <c r="E45" s="8">
        <v>92.0</v>
      </c>
      <c r="F45" s="8">
        <v>89.0</v>
      </c>
      <c r="G45" s="8">
        <v>94.0</v>
      </c>
      <c r="H45" s="9">
        <f t="shared" si="1"/>
        <v>275</v>
      </c>
      <c r="I45" s="10">
        <f t="shared" si="2"/>
        <v>0.9166666667</v>
      </c>
      <c r="J45" s="9" t="str">
        <f t="shared" si="3"/>
        <v>PASS</v>
      </c>
      <c r="K45" s="9"/>
      <c r="L45" s="9">
        <f t="shared" si="12"/>
        <v>42</v>
      </c>
      <c r="N45" s="30" t="s">
        <v>138</v>
      </c>
      <c r="S45" s="31"/>
    </row>
    <row r="46">
      <c r="A46" s="8">
        <v>68.0</v>
      </c>
      <c r="B46" s="2" t="s">
        <v>139</v>
      </c>
      <c r="C46" s="2" t="s">
        <v>140</v>
      </c>
      <c r="D46" s="2" t="s">
        <v>39</v>
      </c>
      <c r="E46" s="8">
        <v>91.0</v>
      </c>
      <c r="F46" s="8">
        <v>95.0</v>
      </c>
      <c r="G46" s="8">
        <v>89.0</v>
      </c>
      <c r="H46" s="9">
        <f t="shared" si="1"/>
        <v>275</v>
      </c>
      <c r="I46" s="10">
        <f t="shared" si="2"/>
        <v>0.9166666667</v>
      </c>
      <c r="J46" s="9" t="str">
        <f t="shared" si="3"/>
        <v>PASS</v>
      </c>
      <c r="K46" s="9"/>
      <c r="L46" s="9">
        <f t="shared" si="12"/>
        <v>42</v>
      </c>
      <c r="N46" s="32"/>
      <c r="S46" s="31"/>
    </row>
    <row r="47">
      <c r="A47" s="8">
        <v>74.0</v>
      </c>
      <c r="B47" s="2" t="s">
        <v>141</v>
      </c>
      <c r="C47" s="2" t="s">
        <v>142</v>
      </c>
      <c r="D47" s="2" t="s">
        <v>54</v>
      </c>
      <c r="E47" s="8">
        <v>90.0</v>
      </c>
      <c r="F47" s="8">
        <v>94.0</v>
      </c>
      <c r="G47" s="8">
        <v>91.0</v>
      </c>
      <c r="H47" s="9">
        <f t="shared" si="1"/>
        <v>275</v>
      </c>
      <c r="I47" s="10">
        <f t="shared" si="2"/>
        <v>0.9166666667</v>
      </c>
      <c r="J47" s="9" t="str">
        <f t="shared" si="3"/>
        <v>PASS</v>
      </c>
      <c r="K47" s="9"/>
      <c r="L47" s="9">
        <f t="shared" si="12"/>
        <v>42</v>
      </c>
      <c r="N47" s="28"/>
      <c r="S47" s="29"/>
    </row>
    <row r="48">
      <c r="A48" s="8">
        <v>91.0</v>
      </c>
      <c r="B48" s="2" t="s">
        <v>143</v>
      </c>
      <c r="C48" s="2" t="s">
        <v>144</v>
      </c>
      <c r="D48" s="2" t="s">
        <v>28</v>
      </c>
      <c r="E48" s="8">
        <v>91.0</v>
      </c>
      <c r="F48" s="8">
        <v>90.0</v>
      </c>
      <c r="G48" s="8">
        <v>94.0</v>
      </c>
      <c r="H48" s="9">
        <f t="shared" si="1"/>
        <v>275</v>
      </c>
      <c r="I48" s="10">
        <f t="shared" si="2"/>
        <v>0.9166666667</v>
      </c>
      <c r="J48" s="9" t="str">
        <f t="shared" si="3"/>
        <v>PASS</v>
      </c>
      <c r="K48" s="9"/>
      <c r="L48" s="9">
        <f t="shared" si="12"/>
        <v>42</v>
      </c>
      <c r="N48" s="33"/>
      <c r="O48" s="34" t="s">
        <v>145</v>
      </c>
      <c r="P48" s="35" t="str">
        <f t="array" ref="P48">IFERROR(_xlfn.XLOOKUP(O37,B4:B999,B4:B999,"Not found"),"")</f>
        <v>R038</v>
      </c>
      <c r="S48" s="29"/>
    </row>
    <row r="49">
      <c r="A49" s="8">
        <v>102.0</v>
      </c>
      <c r="B49" s="2" t="s">
        <v>146</v>
      </c>
      <c r="C49" s="2" t="s">
        <v>147</v>
      </c>
      <c r="D49" s="2" t="s">
        <v>88</v>
      </c>
      <c r="E49" s="8">
        <v>91.0</v>
      </c>
      <c r="F49" s="8">
        <v>94.0</v>
      </c>
      <c r="G49" s="8">
        <v>90.0</v>
      </c>
      <c r="H49" s="9">
        <f t="shared" si="1"/>
        <v>275</v>
      </c>
      <c r="I49" s="10">
        <f t="shared" si="2"/>
        <v>0.9166666667</v>
      </c>
      <c r="J49" s="9" t="str">
        <f t="shared" si="3"/>
        <v>PASS</v>
      </c>
      <c r="K49" s="9"/>
      <c r="L49" s="9">
        <f t="shared" si="12"/>
        <v>42</v>
      </c>
      <c r="N49" s="36"/>
      <c r="O49" s="34" t="s">
        <v>148</v>
      </c>
      <c r="P49" s="35" t="str">
        <f t="array" ref="P49">IFERROR(_xlfn.XLOOKUP(O37,B4:B999,C4:C999,"Not found"),"")</f>
        <v>Anjali Gupta</v>
      </c>
      <c r="S49" s="29"/>
    </row>
    <row r="50">
      <c r="A50" s="8">
        <v>131.0</v>
      </c>
      <c r="B50" s="2" t="s">
        <v>149</v>
      </c>
      <c r="C50" s="2" t="s">
        <v>150</v>
      </c>
      <c r="D50" s="2" t="s">
        <v>54</v>
      </c>
      <c r="E50" s="8">
        <v>95.0</v>
      </c>
      <c r="F50" s="8">
        <v>88.0</v>
      </c>
      <c r="G50" s="8">
        <v>92.0</v>
      </c>
      <c r="H50" s="9">
        <f t="shared" si="1"/>
        <v>275</v>
      </c>
      <c r="I50" s="10">
        <f t="shared" si="2"/>
        <v>0.9166666667</v>
      </c>
      <c r="J50" s="9" t="str">
        <f t="shared" si="3"/>
        <v>PASS</v>
      </c>
      <c r="K50" s="9"/>
      <c r="L50" s="9">
        <f t="shared" si="12"/>
        <v>42</v>
      </c>
      <c r="N50" s="36"/>
      <c r="O50" s="34" t="s">
        <v>151</v>
      </c>
      <c r="P50" s="35" t="str">
        <f t="array" ref="P50">IFERROR(_xlfn.XLOOKUP(O37,B4:B999,D4:D999,"Not found"),"")</f>
        <v>Delhi</v>
      </c>
      <c r="S50" s="29"/>
    </row>
    <row r="51">
      <c r="A51" s="8">
        <v>136.0</v>
      </c>
      <c r="B51" s="2" t="s">
        <v>152</v>
      </c>
      <c r="C51" s="2" t="s">
        <v>153</v>
      </c>
      <c r="D51" s="2" t="s">
        <v>58</v>
      </c>
      <c r="E51" s="8">
        <v>92.0</v>
      </c>
      <c r="F51" s="8">
        <v>90.0</v>
      </c>
      <c r="G51" s="8">
        <v>93.0</v>
      </c>
      <c r="H51" s="9">
        <f t="shared" si="1"/>
        <v>275</v>
      </c>
      <c r="I51" s="10">
        <f t="shared" si="2"/>
        <v>0.9166666667</v>
      </c>
      <c r="J51" s="9" t="str">
        <f t="shared" si="3"/>
        <v>PASS</v>
      </c>
      <c r="K51" s="9"/>
      <c r="L51" s="9">
        <f t="shared" si="12"/>
        <v>42</v>
      </c>
      <c r="N51" s="28"/>
      <c r="S51" s="29"/>
    </row>
    <row r="52">
      <c r="A52" s="8">
        <v>160.0</v>
      </c>
      <c r="B52" s="2" t="s">
        <v>154</v>
      </c>
      <c r="C52" s="2" t="s">
        <v>155</v>
      </c>
      <c r="D52" s="2" t="s">
        <v>85</v>
      </c>
      <c r="E52" s="8">
        <v>89.0</v>
      </c>
      <c r="F52" s="8">
        <v>95.0</v>
      </c>
      <c r="G52" s="8">
        <v>91.0</v>
      </c>
      <c r="H52" s="9">
        <f t="shared" si="1"/>
        <v>275</v>
      </c>
      <c r="I52" s="10">
        <f t="shared" si="2"/>
        <v>0.9166666667</v>
      </c>
      <c r="J52" s="9" t="str">
        <f t="shared" si="3"/>
        <v>PASS</v>
      </c>
      <c r="K52" s="9"/>
      <c r="L52" s="9">
        <f t="shared" si="12"/>
        <v>42</v>
      </c>
      <c r="N52" s="37" t="s">
        <v>156</v>
      </c>
      <c r="O52" s="38"/>
      <c r="P52" s="39" t="s">
        <v>157</v>
      </c>
      <c r="Q52" s="38"/>
      <c r="R52" s="39" t="s">
        <v>158</v>
      </c>
      <c r="S52" s="40"/>
    </row>
    <row r="53">
      <c r="A53" s="8">
        <v>190.0</v>
      </c>
      <c r="B53" s="2" t="s">
        <v>159</v>
      </c>
      <c r="C53" s="2" t="s">
        <v>160</v>
      </c>
      <c r="D53" s="2" t="s">
        <v>28</v>
      </c>
      <c r="E53" s="8">
        <v>90.0</v>
      </c>
      <c r="F53" s="8">
        <v>94.0</v>
      </c>
      <c r="G53" s="8">
        <v>91.0</v>
      </c>
      <c r="H53" s="9">
        <f t="shared" si="1"/>
        <v>275</v>
      </c>
      <c r="I53" s="10">
        <f t="shared" si="2"/>
        <v>0.9166666667</v>
      </c>
      <c r="J53" s="9" t="str">
        <f t="shared" si="3"/>
        <v>PASS</v>
      </c>
      <c r="K53" s="9"/>
      <c r="L53" s="9">
        <f t="shared" si="12"/>
        <v>42</v>
      </c>
      <c r="N53" s="41">
        <v>1.0</v>
      </c>
      <c r="P53" s="42" t="s">
        <v>161</v>
      </c>
      <c r="R53" s="43">
        <f t="array" ref="R53">IFERROR(_xlfn.XLOOKUP(O37,B4:B999,E4:E999,"Not found"),"")</f>
        <v>94</v>
      </c>
      <c r="S53" s="29"/>
    </row>
    <row r="54">
      <c r="A54" s="8">
        <v>194.0</v>
      </c>
      <c r="B54" s="2" t="s">
        <v>162</v>
      </c>
      <c r="C54" s="2" t="s">
        <v>163</v>
      </c>
      <c r="D54" s="2" t="s">
        <v>91</v>
      </c>
      <c r="E54" s="8">
        <v>91.0</v>
      </c>
      <c r="F54" s="8">
        <v>89.0</v>
      </c>
      <c r="G54" s="8">
        <v>95.0</v>
      </c>
      <c r="H54" s="9">
        <f t="shared" si="1"/>
        <v>275</v>
      </c>
      <c r="I54" s="10">
        <f t="shared" si="2"/>
        <v>0.9166666667</v>
      </c>
      <c r="J54" s="9" t="str">
        <f t="shared" si="3"/>
        <v>PASS</v>
      </c>
      <c r="K54" s="9"/>
      <c r="L54" s="9">
        <f t="shared" si="12"/>
        <v>42</v>
      </c>
      <c r="N54" s="41">
        <v>2.0</v>
      </c>
      <c r="P54" s="42" t="s">
        <v>7</v>
      </c>
      <c r="R54" s="44">
        <f t="array" ref="R54">IFERROR(_xlfn.XLOOKUP(O37,B4:B999,F4:F999,"Not found"),"")</f>
        <v>92</v>
      </c>
      <c r="S54" s="29"/>
    </row>
    <row r="55">
      <c r="A55" s="8">
        <v>48.0</v>
      </c>
      <c r="B55" s="2" t="s">
        <v>164</v>
      </c>
      <c r="C55" s="2" t="s">
        <v>165</v>
      </c>
      <c r="D55" s="2" t="s">
        <v>47</v>
      </c>
      <c r="E55" s="8">
        <v>91.0</v>
      </c>
      <c r="F55" s="8">
        <v>93.0</v>
      </c>
      <c r="G55" s="8">
        <v>90.0</v>
      </c>
      <c r="H55" s="9">
        <f t="shared" si="1"/>
        <v>274</v>
      </c>
      <c r="I55" s="10">
        <f t="shared" si="2"/>
        <v>0.9133333333</v>
      </c>
      <c r="J55" s="9" t="str">
        <f t="shared" si="3"/>
        <v>PASS</v>
      </c>
      <c r="K55" s="9"/>
      <c r="L55" s="9">
        <f t="shared" si="12"/>
        <v>52</v>
      </c>
      <c r="N55" s="45">
        <v>3.0</v>
      </c>
      <c r="O55" s="46"/>
      <c r="P55" s="47" t="s">
        <v>8</v>
      </c>
      <c r="Q55" s="46"/>
      <c r="R55" s="46">
        <f t="array" ref="R55">IFERROR(_xlfn.XLOOKUP(O37,B4:B999,G4:G999,"Not found"),"")</f>
        <v>96</v>
      </c>
      <c r="S55" s="48"/>
    </row>
    <row r="56">
      <c r="A56" s="8">
        <v>85.0</v>
      </c>
      <c r="B56" s="2" t="s">
        <v>166</v>
      </c>
      <c r="C56" s="2" t="s">
        <v>167</v>
      </c>
      <c r="D56" s="2" t="s">
        <v>54</v>
      </c>
      <c r="E56" s="8">
        <v>92.0</v>
      </c>
      <c r="F56" s="8">
        <v>88.0</v>
      </c>
      <c r="G56" s="8">
        <v>94.0</v>
      </c>
      <c r="H56" s="9">
        <f t="shared" si="1"/>
        <v>274</v>
      </c>
      <c r="I56" s="10">
        <f t="shared" si="2"/>
        <v>0.9133333333</v>
      </c>
      <c r="J56" s="9" t="str">
        <f t="shared" si="3"/>
        <v>PASS</v>
      </c>
      <c r="K56" s="9"/>
      <c r="L56" s="9">
        <f t="shared" si="12"/>
        <v>52</v>
      </c>
      <c r="N56" s="28"/>
      <c r="Q56" s="49" t="s">
        <v>168</v>
      </c>
      <c r="R56" s="9">
        <f>SUM(R53:R55)</f>
        <v>282</v>
      </c>
      <c r="S56" s="29"/>
    </row>
    <row r="57">
      <c r="A57" s="8">
        <v>87.0</v>
      </c>
      <c r="B57" s="2" t="s">
        <v>169</v>
      </c>
      <c r="C57" s="2" t="s">
        <v>170</v>
      </c>
      <c r="D57" s="2" t="s">
        <v>94</v>
      </c>
      <c r="E57" s="8">
        <v>90.0</v>
      </c>
      <c r="F57" s="8">
        <v>93.0</v>
      </c>
      <c r="G57" s="8">
        <v>91.0</v>
      </c>
      <c r="H57" s="9">
        <f t="shared" si="1"/>
        <v>274</v>
      </c>
      <c r="I57" s="10">
        <f t="shared" si="2"/>
        <v>0.9133333333</v>
      </c>
      <c r="J57" s="9" t="str">
        <f t="shared" si="3"/>
        <v>PASS</v>
      </c>
      <c r="K57" s="9"/>
      <c r="L57" s="9">
        <f t="shared" si="12"/>
        <v>52</v>
      </c>
      <c r="N57" s="28"/>
      <c r="Q57" s="49" t="s">
        <v>171</v>
      </c>
      <c r="R57" s="50">
        <v>300.0</v>
      </c>
      <c r="S57" s="29"/>
    </row>
    <row r="58">
      <c r="A58" s="8">
        <v>124.0</v>
      </c>
      <c r="B58" s="2" t="s">
        <v>172</v>
      </c>
      <c r="C58" s="2" t="s">
        <v>173</v>
      </c>
      <c r="D58" s="2" t="s">
        <v>54</v>
      </c>
      <c r="E58" s="8">
        <v>91.0</v>
      </c>
      <c r="F58" s="8">
        <v>89.0</v>
      </c>
      <c r="G58" s="8">
        <v>94.0</v>
      </c>
      <c r="H58" s="9">
        <f t="shared" si="1"/>
        <v>274</v>
      </c>
      <c r="I58" s="10">
        <f t="shared" si="2"/>
        <v>0.9133333333</v>
      </c>
      <c r="J58" s="9" t="str">
        <f t="shared" si="3"/>
        <v>PASS</v>
      </c>
      <c r="K58" s="9"/>
      <c r="L58" s="9">
        <f t="shared" si="12"/>
        <v>52</v>
      </c>
      <c r="N58" s="28"/>
      <c r="Q58" s="49" t="s">
        <v>174</v>
      </c>
      <c r="R58" s="10">
        <f>R56/R57</f>
        <v>0.94</v>
      </c>
      <c r="S58" s="29"/>
    </row>
    <row r="59">
      <c r="A59" s="8">
        <v>146.0</v>
      </c>
      <c r="B59" s="2" t="s">
        <v>175</v>
      </c>
      <c r="C59" s="2" t="s">
        <v>176</v>
      </c>
      <c r="D59" s="2" t="s">
        <v>54</v>
      </c>
      <c r="E59" s="8">
        <v>91.0</v>
      </c>
      <c r="F59" s="8">
        <v>89.0</v>
      </c>
      <c r="G59" s="8">
        <v>94.0</v>
      </c>
      <c r="H59" s="9">
        <f t="shared" si="1"/>
        <v>274</v>
      </c>
      <c r="I59" s="10">
        <f t="shared" si="2"/>
        <v>0.9133333333</v>
      </c>
      <c r="J59" s="9" t="str">
        <f t="shared" si="3"/>
        <v>PASS</v>
      </c>
      <c r="K59" s="9"/>
      <c r="L59" s="9">
        <f t="shared" si="12"/>
        <v>52</v>
      </c>
      <c r="N59" s="28"/>
      <c r="Q59" s="49" t="s">
        <v>177</v>
      </c>
      <c r="R59" s="9" t="str">
        <f t="array" ref="R59">IFERROR(_xlfn.XLOOKUP(O37,B4:B999,J4:J999,"Not found"),"")</f>
        <v>PASS</v>
      </c>
      <c r="S59" s="29"/>
    </row>
    <row r="60">
      <c r="A60" s="8">
        <v>180.0</v>
      </c>
      <c r="B60" s="2" t="s">
        <v>178</v>
      </c>
      <c r="C60" s="2" t="s">
        <v>179</v>
      </c>
      <c r="D60" s="2" t="s">
        <v>58</v>
      </c>
      <c r="E60" s="8">
        <v>91.0</v>
      </c>
      <c r="F60" s="8">
        <v>89.0</v>
      </c>
      <c r="G60" s="8">
        <v>94.0</v>
      </c>
      <c r="H60" s="9">
        <f t="shared" si="1"/>
        <v>274</v>
      </c>
      <c r="I60" s="10">
        <f t="shared" si="2"/>
        <v>0.9133333333</v>
      </c>
      <c r="J60" s="9" t="str">
        <f t="shared" si="3"/>
        <v>PASS</v>
      </c>
      <c r="K60" s="9"/>
      <c r="L60" s="9">
        <f t="shared" si="12"/>
        <v>52</v>
      </c>
      <c r="N60" s="28"/>
      <c r="S60" s="29"/>
    </row>
    <row r="61">
      <c r="A61" s="8">
        <v>36.0</v>
      </c>
      <c r="B61" s="2" t="s">
        <v>180</v>
      </c>
      <c r="C61" s="2" t="s">
        <v>181</v>
      </c>
      <c r="D61" s="2" t="s">
        <v>97</v>
      </c>
      <c r="E61" s="8">
        <v>91.0</v>
      </c>
      <c r="F61" s="8">
        <v>89.0</v>
      </c>
      <c r="G61" s="8">
        <v>93.0</v>
      </c>
      <c r="H61" s="9">
        <f t="shared" si="1"/>
        <v>273</v>
      </c>
      <c r="I61" s="10">
        <f t="shared" si="2"/>
        <v>0.91</v>
      </c>
      <c r="J61" s="9" t="str">
        <f t="shared" si="3"/>
        <v>PASS</v>
      </c>
      <c r="K61" s="9"/>
      <c r="L61" s="9">
        <f t="shared" si="12"/>
        <v>58</v>
      </c>
      <c r="N61" s="28"/>
      <c r="S61" s="29"/>
    </row>
    <row r="62">
      <c r="A62" s="8">
        <v>140.0</v>
      </c>
      <c r="B62" s="2" t="s">
        <v>182</v>
      </c>
      <c r="C62" s="2" t="s">
        <v>183</v>
      </c>
      <c r="D62" s="2" t="s">
        <v>82</v>
      </c>
      <c r="E62" s="8">
        <v>90.0</v>
      </c>
      <c r="F62" s="8">
        <v>94.0</v>
      </c>
      <c r="G62" s="8">
        <v>89.0</v>
      </c>
      <c r="H62" s="9">
        <f t="shared" si="1"/>
        <v>273</v>
      </c>
      <c r="I62" s="10">
        <f t="shared" si="2"/>
        <v>0.91</v>
      </c>
      <c r="J62" s="9" t="str">
        <f t="shared" si="3"/>
        <v>PASS</v>
      </c>
      <c r="K62" s="9"/>
      <c r="L62" s="9">
        <f t="shared" si="12"/>
        <v>58</v>
      </c>
      <c r="N62" s="28"/>
      <c r="S62" s="29"/>
    </row>
    <row r="63">
      <c r="A63" s="8">
        <v>174.0</v>
      </c>
      <c r="B63" s="2" t="s">
        <v>184</v>
      </c>
      <c r="C63" s="2" t="s">
        <v>185</v>
      </c>
      <c r="D63" s="2" t="s">
        <v>54</v>
      </c>
      <c r="E63" s="8">
        <v>90.0</v>
      </c>
      <c r="F63" s="8">
        <v>94.0</v>
      </c>
      <c r="G63" s="8">
        <v>89.0</v>
      </c>
      <c r="H63" s="9">
        <f t="shared" si="1"/>
        <v>273</v>
      </c>
      <c r="I63" s="10">
        <f t="shared" si="2"/>
        <v>0.91</v>
      </c>
      <c r="J63" s="9" t="str">
        <f t="shared" si="3"/>
        <v>PASS</v>
      </c>
      <c r="K63" s="9"/>
      <c r="L63" s="9">
        <f t="shared" si="12"/>
        <v>58</v>
      </c>
      <c r="N63" s="28"/>
      <c r="R63" s="15"/>
      <c r="S63" s="29"/>
    </row>
    <row r="64">
      <c r="A64" s="8">
        <v>21.0</v>
      </c>
      <c r="B64" s="2" t="s">
        <v>186</v>
      </c>
      <c r="C64" s="2" t="s">
        <v>187</v>
      </c>
      <c r="D64" s="2" t="s">
        <v>54</v>
      </c>
      <c r="E64" s="8">
        <v>94.0</v>
      </c>
      <c r="F64" s="8">
        <v>87.0</v>
      </c>
      <c r="G64" s="8">
        <v>91.0</v>
      </c>
      <c r="H64" s="9">
        <f t="shared" si="1"/>
        <v>272</v>
      </c>
      <c r="I64" s="10">
        <f t="shared" si="2"/>
        <v>0.9066666667</v>
      </c>
      <c r="J64" s="9" t="str">
        <f t="shared" si="3"/>
        <v>PASS</v>
      </c>
      <c r="K64" s="9"/>
      <c r="L64" s="9">
        <f t="shared" si="12"/>
        <v>61</v>
      </c>
      <c r="N64" s="28"/>
      <c r="R64" s="15" t="s">
        <v>188</v>
      </c>
      <c r="S64" s="29"/>
    </row>
    <row r="65">
      <c r="A65" s="8">
        <v>114.0</v>
      </c>
      <c r="B65" s="2" t="s">
        <v>189</v>
      </c>
      <c r="C65" s="2" t="s">
        <v>190</v>
      </c>
      <c r="D65" s="2" t="s">
        <v>62</v>
      </c>
      <c r="E65" s="8">
        <v>91.0</v>
      </c>
      <c r="F65" s="8">
        <v>88.0</v>
      </c>
      <c r="G65" s="8">
        <v>93.0</v>
      </c>
      <c r="H65" s="9">
        <f t="shared" si="1"/>
        <v>272</v>
      </c>
      <c r="I65" s="10">
        <f t="shared" si="2"/>
        <v>0.9066666667</v>
      </c>
      <c r="J65" s="9" t="str">
        <f t="shared" si="3"/>
        <v>PASS</v>
      </c>
      <c r="K65" s="9"/>
      <c r="L65" s="9">
        <f t="shared" si="12"/>
        <v>61</v>
      </c>
      <c r="N65" s="33" t="s">
        <v>191</v>
      </c>
      <c r="O65" s="51">
        <v>46174.0</v>
      </c>
      <c r="S65" s="29"/>
    </row>
    <row r="66">
      <c r="A66" s="8">
        <v>164.0</v>
      </c>
      <c r="B66" s="2" t="s">
        <v>192</v>
      </c>
      <c r="C66" s="2" t="s">
        <v>193</v>
      </c>
      <c r="D66" s="2" t="s">
        <v>54</v>
      </c>
      <c r="E66" s="8">
        <v>91.0</v>
      </c>
      <c r="F66" s="8">
        <v>88.0</v>
      </c>
      <c r="G66" s="8">
        <v>93.0</v>
      </c>
      <c r="H66" s="9">
        <f t="shared" si="1"/>
        <v>272</v>
      </c>
      <c r="I66" s="10">
        <f t="shared" si="2"/>
        <v>0.9066666667</v>
      </c>
      <c r="J66" s="9" t="str">
        <f t="shared" si="3"/>
        <v>PASS</v>
      </c>
      <c r="K66" s="9"/>
      <c r="L66" s="9">
        <f t="shared" si="12"/>
        <v>61</v>
      </c>
      <c r="N66" s="28"/>
      <c r="S66" s="29"/>
    </row>
    <row r="67">
      <c r="A67" s="8">
        <v>99.0</v>
      </c>
      <c r="B67" s="2" t="s">
        <v>194</v>
      </c>
      <c r="C67" s="2" t="s">
        <v>195</v>
      </c>
      <c r="D67" s="2" t="s">
        <v>28</v>
      </c>
      <c r="E67" s="8">
        <v>90.0</v>
      </c>
      <c r="F67" s="8">
        <v>93.0</v>
      </c>
      <c r="G67" s="8">
        <v>88.0</v>
      </c>
      <c r="H67" s="9">
        <f t="shared" si="1"/>
        <v>271</v>
      </c>
      <c r="I67" s="10">
        <f t="shared" si="2"/>
        <v>0.9033333333</v>
      </c>
      <c r="J67" s="9" t="str">
        <f t="shared" si="3"/>
        <v>PASS</v>
      </c>
      <c r="K67" s="9"/>
      <c r="L67" s="9">
        <f t="shared" si="12"/>
        <v>64</v>
      </c>
      <c r="N67" s="52"/>
      <c r="O67" s="53" t="s">
        <v>196</v>
      </c>
      <c r="P67" s="54"/>
      <c r="Q67" s="54"/>
      <c r="R67" s="46"/>
      <c r="S67" s="48"/>
    </row>
    <row r="68">
      <c r="A68" s="8">
        <v>2.0</v>
      </c>
      <c r="B68" s="2" t="s">
        <v>197</v>
      </c>
      <c r="C68" s="2" t="s">
        <v>198</v>
      </c>
      <c r="D68" s="2" t="s">
        <v>28</v>
      </c>
      <c r="E68" s="8">
        <v>92.0</v>
      </c>
      <c r="F68" s="8">
        <v>88.0</v>
      </c>
      <c r="G68" s="8">
        <v>90.0</v>
      </c>
      <c r="H68" s="9">
        <f t="shared" si="1"/>
        <v>270</v>
      </c>
      <c r="I68" s="10">
        <f t="shared" si="2"/>
        <v>0.9</v>
      </c>
      <c r="J68" s="9" t="str">
        <f t="shared" si="3"/>
        <v>PASS</v>
      </c>
      <c r="K68" s="9"/>
      <c r="L68" s="9">
        <f t="shared" si="12"/>
        <v>65</v>
      </c>
    </row>
    <row r="69">
      <c r="A69" s="8">
        <v>20.0</v>
      </c>
      <c r="B69" s="2" t="s">
        <v>199</v>
      </c>
      <c r="C69" s="2" t="s">
        <v>200</v>
      </c>
      <c r="D69" s="2" t="s">
        <v>100</v>
      </c>
      <c r="E69" s="8">
        <v>90.0</v>
      </c>
      <c r="F69" s="8">
        <v>92.0</v>
      </c>
      <c r="G69" s="8">
        <v>88.0</v>
      </c>
      <c r="H69" s="9">
        <f t="shared" si="1"/>
        <v>270</v>
      </c>
      <c r="I69" s="10">
        <f t="shared" si="2"/>
        <v>0.9</v>
      </c>
      <c r="J69" s="9" t="str">
        <f t="shared" si="3"/>
        <v>PASS</v>
      </c>
      <c r="K69" s="9"/>
      <c r="L69" s="9">
        <f t="shared" si="12"/>
        <v>65</v>
      </c>
    </row>
    <row r="70">
      <c r="A70" s="8">
        <v>106.0</v>
      </c>
      <c r="B70" s="2" t="s">
        <v>201</v>
      </c>
      <c r="C70" s="2" t="s">
        <v>202</v>
      </c>
      <c r="D70" s="2" t="s">
        <v>79</v>
      </c>
      <c r="E70" s="8">
        <v>90.0</v>
      </c>
      <c r="F70" s="8">
        <v>92.0</v>
      </c>
      <c r="G70" s="8">
        <v>88.0</v>
      </c>
      <c r="H70" s="9">
        <f t="shared" si="1"/>
        <v>270</v>
      </c>
      <c r="I70" s="10">
        <f t="shared" si="2"/>
        <v>0.9</v>
      </c>
      <c r="J70" s="9" t="str">
        <f t="shared" si="3"/>
        <v>PASS</v>
      </c>
      <c r="K70" s="9"/>
      <c r="L70" s="9">
        <f t="shared" si="12"/>
        <v>65</v>
      </c>
    </row>
    <row r="71">
      <c r="A71" s="8">
        <v>120.0</v>
      </c>
      <c r="B71" s="2" t="s">
        <v>203</v>
      </c>
      <c r="C71" s="2" t="s">
        <v>204</v>
      </c>
      <c r="D71" s="2" t="s">
        <v>58</v>
      </c>
      <c r="E71" s="8">
        <v>88.0</v>
      </c>
      <c r="F71" s="8">
        <v>90.0</v>
      </c>
      <c r="G71" s="8">
        <v>92.0</v>
      </c>
      <c r="H71" s="9">
        <f t="shared" si="1"/>
        <v>270</v>
      </c>
      <c r="I71" s="10">
        <f t="shared" si="2"/>
        <v>0.9</v>
      </c>
      <c r="J71" s="9" t="str">
        <f t="shared" si="3"/>
        <v>PASS</v>
      </c>
      <c r="K71" s="9"/>
      <c r="L71" s="9">
        <f t="shared" si="12"/>
        <v>65</v>
      </c>
    </row>
    <row r="72">
      <c r="A72" s="8">
        <v>152.0</v>
      </c>
      <c r="B72" s="2" t="s">
        <v>205</v>
      </c>
      <c r="C72" s="2" t="s">
        <v>206</v>
      </c>
      <c r="D72" s="2" t="s">
        <v>94</v>
      </c>
      <c r="E72" s="8">
        <v>90.0</v>
      </c>
      <c r="F72" s="8">
        <v>92.0</v>
      </c>
      <c r="G72" s="8">
        <v>88.0</v>
      </c>
      <c r="H72" s="9">
        <f t="shared" si="1"/>
        <v>270</v>
      </c>
      <c r="I72" s="10">
        <f t="shared" si="2"/>
        <v>0.9</v>
      </c>
      <c r="J72" s="9" t="str">
        <f t="shared" si="3"/>
        <v>PASS</v>
      </c>
      <c r="K72" s="9"/>
      <c r="L72" s="9">
        <f t="shared" si="12"/>
        <v>65</v>
      </c>
    </row>
    <row r="73">
      <c r="A73" s="8">
        <v>26.0</v>
      </c>
      <c r="B73" s="2" t="s">
        <v>207</v>
      </c>
      <c r="C73" s="2" t="s">
        <v>208</v>
      </c>
      <c r="D73" s="2" t="s">
        <v>39</v>
      </c>
      <c r="E73" s="8">
        <v>89.0</v>
      </c>
      <c r="F73" s="8">
        <v>88.0</v>
      </c>
      <c r="G73" s="8">
        <v>92.0</v>
      </c>
      <c r="H73" s="9">
        <f t="shared" si="1"/>
        <v>269</v>
      </c>
      <c r="I73" s="10">
        <f t="shared" si="2"/>
        <v>0.8966666667</v>
      </c>
      <c r="J73" s="9" t="str">
        <f t="shared" si="3"/>
        <v>PASS</v>
      </c>
      <c r="K73" s="9"/>
      <c r="L73" s="9">
        <f t="shared" si="12"/>
        <v>70</v>
      </c>
    </row>
    <row r="74">
      <c r="A74" s="8">
        <v>93.0</v>
      </c>
      <c r="B74" s="2" t="s">
        <v>209</v>
      </c>
      <c r="C74" s="2" t="s">
        <v>210</v>
      </c>
      <c r="D74" s="2" t="s">
        <v>62</v>
      </c>
      <c r="E74" s="8">
        <v>89.0</v>
      </c>
      <c r="F74" s="8">
        <v>92.0</v>
      </c>
      <c r="G74" s="8">
        <v>88.0</v>
      </c>
      <c r="H74" s="9">
        <f t="shared" si="1"/>
        <v>269</v>
      </c>
      <c r="I74" s="10">
        <f t="shared" si="2"/>
        <v>0.8966666667</v>
      </c>
      <c r="J74" s="9" t="str">
        <f t="shared" si="3"/>
        <v>PASS</v>
      </c>
      <c r="K74" s="9"/>
      <c r="L74" s="9">
        <f t="shared" si="12"/>
        <v>70</v>
      </c>
    </row>
    <row r="75">
      <c r="A75" s="8">
        <v>130.0</v>
      </c>
      <c r="B75" s="2" t="s">
        <v>211</v>
      </c>
      <c r="C75" s="2" t="s">
        <v>212</v>
      </c>
      <c r="D75" s="2" t="s">
        <v>103</v>
      </c>
      <c r="E75" s="8">
        <v>89.0</v>
      </c>
      <c r="F75" s="8">
        <v>93.0</v>
      </c>
      <c r="G75" s="8">
        <v>87.0</v>
      </c>
      <c r="H75" s="9">
        <f t="shared" si="1"/>
        <v>269</v>
      </c>
      <c r="I75" s="10">
        <f t="shared" si="2"/>
        <v>0.8966666667</v>
      </c>
      <c r="J75" s="9" t="str">
        <f t="shared" si="3"/>
        <v>PASS</v>
      </c>
      <c r="K75" s="9"/>
      <c r="L75" s="9">
        <f t="shared" si="12"/>
        <v>70</v>
      </c>
    </row>
    <row r="76">
      <c r="A76" s="8">
        <v>50.0</v>
      </c>
      <c r="B76" s="2" t="s">
        <v>213</v>
      </c>
      <c r="C76" s="2" t="s">
        <v>214</v>
      </c>
      <c r="D76" s="2" t="s">
        <v>82</v>
      </c>
      <c r="E76" s="8">
        <v>89.0</v>
      </c>
      <c r="F76" s="8">
        <v>92.0</v>
      </c>
      <c r="G76" s="8">
        <v>87.0</v>
      </c>
      <c r="H76" s="9">
        <f t="shared" si="1"/>
        <v>268</v>
      </c>
      <c r="I76" s="10">
        <f t="shared" si="2"/>
        <v>0.8933333333</v>
      </c>
      <c r="J76" s="9" t="str">
        <f t="shared" si="3"/>
        <v>PASS</v>
      </c>
      <c r="K76" s="9"/>
      <c r="L76" s="9">
        <f t="shared" si="12"/>
        <v>73</v>
      </c>
    </row>
    <row r="77">
      <c r="A77" s="8">
        <v>40.0</v>
      </c>
      <c r="B77" s="2" t="s">
        <v>215</v>
      </c>
      <c r="C77" s="2" t="s">
        <v>216</v>
      </c>
      <c r="D77" s="2" t="s">
        <v>79</v>
      </c>
      <c r="E77" s="8">
        <v>87.0</v>
      </c>
      <c r="F77" s="8">
        <v>91.0</v>
      </c>
      <c r="G77" s="8">
        <v>89.0</v>
      </c>
      <c r="H77" s="9">
        <f t="shared" si="1"/>
        <v>267</v>
      </c>
      <c r="I77" s="10">
        <f t="shared" si="2"/>
        <v>0.89</v>
      </c>
      <c r="J77" s="9" t="str">
        <f t="shared" si="3"/>
        <v>PASS</v>
      </c>
      <c r="K77" s="9"/>
      <c r="L77" s="9">
        <f t="shared" si="12"/>
        <v>74</v>
      </c>
    </row>
    <row r="78">
      <c r="A78" s="8">
        <v>117.0</v>
      </c>
      <c r="B78" s="2" t="s">
        <v>217</v>
      </c>
      <c r="C78" s="2" t="s">
        <v>218</v>
      </c>
      <c r="D78" s="2" t="s">
        <v>54</v>
      </c>
      <c r="E78" s="8">
        <v>89.0</v>
      </c>
      <c r="F78" s="8">
        <v>87.0</v>
      </c>
      <c r="G78" s="8">
        <v>91.0</v>
      </c>
      <c r="H78" s="9">
        <f t="shared" si="1"/>
        <v>267</v>
      </c>
      <c r="I78" s="10">
        <f t="shared" si="2"/>
        <v>0.89</v>
      </c>
      <c r="J78" s="9" t="str">
        <f t="shared" si="3"/>
        <v>PASS</v>
      </c>
      <c r="K78" s="9"/>
      <c r="L78" s="9">
        <f t="shared" si="12"/>
        <v>74</v>
      </c>
    </row>
    <row r="79">
      <c r="A79" s="8">
        <v>80.0</v>
      </c>
      <c r="B79" s="2" t="s">
        <v>219</v>
      </c>
      <c r="C79" s="2" t="s">
        <v>220</v>
      </c>
      <c r="D79" s="2" t="s">
        <v>85</v>
      </c>
      <c r="E79" s="8">
        <v>91.0</v>
      </c>
      <c r="F79" s="8">
        <v>86.0</v>
      </c>
      <c r="G79" s="8">
        <v>89.0</v>
      </c>
      <c r="H79" s="9">
        <f t="shared" si="1"/>
        <v>266</v>
      </c>
      <c r="I79" s="10">
        <f t="shared" si="2"/>
        <v>0.8866666667</v>
      </c>
      <c r="J79" s="9" t="str">
        <f t="shared" si="3"/>
        <v>PASS</v>
      </c>
      <c r="K79" s="9"/>
      <c r="L79" s="9">
        <f t="shared" si="12"/>
        <v>76</v>
      </c>
    </row>
    <row r="80">
      <c r="A80" s="8">
        <v>43.0</v>
      </c>
      <c r="B80" s="2" t="s">
        <v>221</v>
      </c>
      <c r="C80" s="2" t="s">
        <v>222</v>
      </c>
      <c r="D80" s="2" t="s">
        <v>91</v>
      </c>
      <c r="E80" s="8">
        <v>89.0</v>
      </c>
      <c r="F80" s="8">
        <v>85.0</v>
      </c>
      <c r="G80" s="8">
        <v>91.0</v>
      </c>
      <c r="H80" s="9">
        <f t="shared" si="1"/>
        <v>265</v>
      </c>
      <c r="I80" s="10">
        <f t="shared" si="2"/>
        <v>0.8833333333</v>
      </c>
      <c r="J80" s="9" t="str">
        <f t="shared" si="3"/>
        <v>PASS</v>
      </c>
      <c r="K80" s="9"/>
      <c r="L80" s="9">
        <f t="shared" si="12"/>
        <v>77</v>
      </c>
    </row>
    <row r="81">
      <c r="A81" s="8">
        <v>76.0</v>
      </c>
      <c r="B81" s="2" t="s">
        <v>223</v>
      </c>
      <c r="C81" s="2" t="s">
        <v>224</v>
      </c>
      <c r="D81" s="2" t="s">
        <v>91</v>
      </c>
      <c r="E81" s="8">
        <v>88.0</v>
      </c>
      <c r="F81" s="8">
        <v>87.0</v>
      </c>
      <c r="G81" s="8">
        <v>90.0</v>
      </c>
      <c r="H81" s="9">
        <f t="shared" si="1"/>
        <v>265</v>
      </c>
      <c r="I81" s="10">
        <f t="shared" si="2"/>
        <v>0.8833333333</v>
      </c>
      <c r="J81" s="9" t="str">
        <f t="shared" si="3"/>
        <v>PASS</v>
      </c>
      <c r="K81" s="9"/>
      <c r="L81" s="9">
        <f t="shared" si="12"/>
        <v>77</v>
      </c>
    </row>
    <row r="82">
      <c r="A82" s="8">
        <v>133.0</v>
      </c>
      <c r="B82" s="2" t="s">
        <v>225</v>
      </c>
      <c r="C82" s="2" t="s">
        <v>226</v>
      </c>
      <c r="D82" s="2" t="s">
        <v>79</v>
      </c>
      <c r="E82" s="8">
        <v>90.0</v>
      </c>
      <c r="F82" s="8">
        <v>86.0</v>
      </c>
      <c r="G82" s="8">
        <v>89.0</v>
      </c>
      <c r="H82" s="9">
        <f t="shared" si="1"/>
        <v>265</v>
      </c>
      <c r="I82" s="10">
        <f t="shared" si="2"/>
        <v>0.8833333333</v>
      </c>
      <c r="J82" s="9" t="str">
        <f t="shared" si="3"/>
        <v>PASS</v>
      </c>
      <c r="K82" s="9"/>
      <c r="L82" s="9">
        <f t="shared" si="12"/>
        <v>77</v>
      </c>
    </row>
    <row r="83">
      <c r="A83" s="8">
        <v>141.0</v>
      </c>
      <c r="B83" s="2" t="s">
        <v>227</v>
      </c>
      <c r="C83" s="2" t="s">
        <v>228</v>
      </c>
      <c r="D83" s="2" t="s">
        <v>28</v>
      </c>
      <c r="E83" s="8">
        <v>86.0</v>
      </c>
      <c r="F83" s="8">
        <v>88.0</v>
      </c>
      <c r="G83" s="8">
        <v>91.0</v>
      </c>
      <c r="H83" s="9">
        <f t="shared" si="1"/>
        <v>265</v>
      </c>
      <c r="I83" s="10">
        <f t="shared" si="2"/>
        <v>0.8833333333</v>
      </c>
      <c r="J83" s="9" t="str">
        <f t="shared" si="3"/>
        <v>PASS</v>
      </c>
      <c r="K83" s="9"/>
      <c r="L83" s="9">
        <f t="shared" si="12"/>
        <v>77</v>
      </c>
    </row>
    <row r="84">
      <c r="A84" s="8">
        <v>197.0</v>
      </c>
      <c r="B84" s="2" t="s">
        <v>229</v>
      </c>
      <c r="C84" s="2" t="s">
        <v>230</v>
      </c>
      <c r="D84" s="2" t="s">
        <v>58</v>
      </c>
      <c r="E84" s="8">
        <v>88.0</v>
      </c>
      <c r="F84" s="8">
        <v>87.0</v>
      </c>
      <c r="G84" s="8">
        <v>90.0</v>
      </c>
      <c r="H84" s="9">
        <f t="shared" si="1"/>
        <v>265</v>
      </c>
      <c r="I84" s="10">
        <f t="shared" si="2"/>
        <v>0.8833333333</v>
      </c>
      <c r="J84" s="9" t="str">
        <f t="shared" si="3"/>
        <v>PASS</v>
      </c>
      <c r="K84" s="9"/>
      <c r="L84" s="9">
        <f t="shared" si="12"/>
        <v>77</v>
      </c>
    </row>
    <row r="85">
      <c r="A85" s="8">
        <v>54.0</v>
      </c>
      <c r="B85" s="2" t="s">
        <v>231</v>
      </c>
      <c r="C85" s="2" t="s">
        <v>232</v>
      </c>
      <c r="D85" s="2" t="s">
        <v>103</v>
      </c>
      <c r="E85" s="8">
        <v>88.0</v>
      </c>
      <c r="F85" s="8">
        <v>86.0</v>
      </c>
      <c r="G85" s="8">
        <v>90.0</v>
      </c>
      <c r="H85" s="9">
        <f t="shared" si="1"/>
        <v>264</v>
      </c>
      <c r="I85" s="10">
        <f t="shared" si="2"/>
        <v>0.88</v>
      </c>
      <c r="J85" s="9" t="str">
        <f t="shared" si="3"/>
        <v>PASS</v>
      </c>
      <c r="K85" s="9"/>
      <c r="L85" s="9">
        <f t="shared" si="12"/>
        <v>82</v>
      </c>
    </row>
    <row r="86">
      <c r="A86" s="8">
        <v>109.0</v>
      </c>
      <c r="B86" s="2" t="s">
        <v>233</v>
      </c>
      <c r="C86" s="2" t="s">
        <v>234</v>
      </c>
      <c r="D86" s="2" t="s">
        <v>91</v>
      </c>
      <c r="E86" s="8">
        <v>88.0</v>
      </c>
      <c r="F86" s="8">
        <v>86.0</v>
      </c>
      <c r="G86" s="8">
        <v>90.0</v>
      </c>
      <c r="H86" s="9">
        <f t="shared" si="1"/>
        <v>264</v>
      </c>
      <c r="I86" s="10">
        <f t="shared" si="2"/>
        <v>0.88</v>
      </c>
      <c r="J86" s="9" t="str">
        <f t="shared" si="3"/>
        <v>PASS</v>
      </c>
      <c r="K86" s="9"/>
      <c r="L86" s="9">
        <f t="shared" si="12"/>
        <v>82</v>
      </c>
    </row>
    <row r="87">
      <c r="A87" s="8">
        <v>155.0</v>
      </c>
      <c r="B87" s="2" t="s">
        <v>235</v>
      </c>
      <c r="C87" s="2" t="s">
        <v>236</v>
      </c>
      <c r="D87" s="2" t="s">
        <v>54</v>
      </c>
      <c r="E87" s="8">
        <v>88.0</v>
      </c>
      <c r="F87" s="8">
        <v>85.0</v>
      </c>
      <c r="G87" s="8">
        <v>91.0</v>
      </c>
      <c r="H87" s="9">
        <f t="shared" si="1"/>
        <v>264</v>
      </c>
      <c r="I87" s="10">
        <f t="shared" si="2"/>
        <v>0.88</v>
      </c>
      <c r="J87" s="9" t="str">
        <f t="shared" si="3"/>
        <v>PASS</v>
      </c>
      <c r="K87" s="9"/>
      <c r="L87" s="9">
        <f t="shared" si="12"/>
        <v>82</v>
      </c>
    </row>
    <row r="88">
      <c r="A88" s="8">
        <v>8.0</v>
      </c>
      <c r="B88" s="2" t="s">
        <v>237</v>
      </c>
      <c r="C88" s="2" t="s">
        <v>238</v>
      </c>
      <c r="D88" s="2" t="s">
        <v>94</v>
      </c>
      <c r="E88" s="8">
        <v>88.0</v>
      </c>
      <c r="F88" s="8">
        <v>84.0</v>
      </c>
      <c r="G88" s="8">
        <v>91.0</v>
      </c>
      <c r="H88" s="9">
        <f t="shared" si="1"/>
        <v>263</v>
      </c>
      <c r="I88" s="10">
        <f t="shared" si="2"/>
        <v>0.8766666667</v>
      </c>
      <c r="J88" s="9" t="str">
        <f t="shared" si="3"/>
        <v>PASS</v>
      </c>
      <c r="K88" s="9"/>
      <c r="L88" s="9">
        <f t="shared" si="12"/>
        <v>85</v>
      </c>
    </row>
    <row r="89">
      <c r="A89" s="8">
        <v>64.0</v>
      </c>
      <c r="B89" s="2" t="s">
        <v>239</v>
      </c>
      <c r="C89" s="2" t="s">
        <v>240</v>
      </c>
      <c r="D89" s="2" t="s">
        <v>103</v>
      </c>
      <c r="E89" s="8">
        <v>89.0</v>
      </c>
      <c r="F89" s="8">
        <v>83.0</v>
      </c>
      <c r="G89" s="8">
        <v>91.0</v>
      </c>
      <c r="H89" s="9">
        <f t="shared" si="1"/>
        <v>263</v>
      </c>
      <c r="I89" s="10">
        <f t="shared" si="2"/>
        <v>0.8766666667</v>
      </c>
      <c r="J89" s="9" t="str">
        <f t="shared" si="3"/>
        <v>PASS</v>
      </c>
      <c r="K89" s="9"/>
      <c r="L89" s="9">
        <f t="shared" si="12"/>
        <v>85</v>
      </c>
    </row>
    <row r="90">
      <c r="A90" s="8">
        <v>79.0</v>
      </c>
      <c r="B90" s="2" t="s">
        <v>241</v>
      </c>
      <c r="C90" s="2" t="s">
        <v>242</v>
      </c>
      <c r="D90" s="2" t="s">
        <v>106</v>
      </c>
      <c r="E90" s="8">
        <v>87.0</v>
      </c>
      <c r="F90" s="8">
        <v>92.0</v>
      </c>
      <c r="G90" s="8">
        <v>84.0</v>
      </c>
      <c r="H90" s="9">
        <f t="shared" si="1"/>
        <v>263</v>
      </c>
      <c r="I90" s="10">
        <f t="shared" si="2"/>
        <v>0.8766666667</v>
      </c>
      <c r="J90" s="9" t="str">
        <f t="shared" si="3"/>
        <v>PASS</v>
      </c>
      <c r="K90" s="9"/>
      <c r="L90" s="9">
        <f t="shared" si="12"/>
        <v>85</v>
      </c>
    </row>
    <row r="91">
      <c r="A91" s="8">
        <v>14.0</v>
      </c>
      <c r="B91" s="2" t="s">
        <v>243</v>
      </c>
      <c r="C91" s="2" t="s">
        <v>23</v>
      </c>
      <c r="D91" s="2" t="s">
        <v>24</v>
      </c>
      <c r="E91" s="8">
        <v>87.0</v>
      </c>
      <c r="F91" s="8">
        <v>90.0</v>
      </c>
      <c r="G91" s="8">
        <v>85.0</v>
      </c>
      <c r="H91" s="9">
        <f t="shared" si="1"/>
        <v>262</v>
      </c>
      <c r="I91" s="10">
        <f t="shared" si="2"/>
        <v>0.8733333333</v>
      </c>
      <c r="J91" s="9" t="str">
        <f t="shared" si="3"/>
        <v>PASS</v>
      </c>
      <c r="K91" s="9"/>
      <c r="L91" s="9">
        <f t="shared" si="12"/>
        <v>88</v>
      </c>
    </row>
    <row r="92">
      <c r="A92" s="8">
        <v>90.0</v>
      </c>
      <c r="B92" s="2" t="s">
        <v>244</v>
      </c>
      <c r="C92" s="2" t="s">
        <v>245</v>
      </c>
      <c r="D92" s="2" t="s">
        <v>79</v>
      </c>
      <c r="E92" s="8">
        <v>88.0</v>
      </c>
      <c r="F92" s="8">
        <v>85.0</v>
      </c>
      <c r="G92" s="8">
        <v>89.0</v>
      </c>
      <c r="H92" s="9">
        <f t="shared" si="1"/>
        <v>262</v>
      </c>
      <c r="I92" s="10">
        <f t="shared" si="2"/>
        <v>0.8733333333</v>
      </c>
      <c r="J92" s="9" t="str">
        <f t="shared" si="3"/>
        <v>PASS</v>
      </c>
      <c r="K92" s="9"/>
      <c r="L92" s="9">
        <f t="shared" si="12"/>
        <v>88</v>
      </c>
    </row>
    <row r="93">
      <c r="A93" s="8">
        <v>127.0</v>
      </c>
      <c r="B93" s="2" t="s">
        <v>246</v>
      </c>
      <c r="C93" s="2" t="s">
        <v>247</v>
      </c>
      <c r="D93" s="2" t="s">
        <v>91</v>
      </c>
      <c r="E93" s="8">
        <v>87.0</v>
      </c>
      <c r="F93" s="8">
        <v>84.0</v>
      </c>
      <c r="G93" s="8">
        <v>91.0</v>
      </c>
      <c r="H93" s="9">
        <f t="shared" si="1"/>
        <v>262</v>
      </c>
      <c r="I93" s="10">
        <f t="shared" si="2"/>
        <v>0.8733333333</v>
      </c>
      <c r="J93" s="9" t="str">
        <f t="shared" si="3"/>
        <v>PASS</v>
      </c>
      <c r="K93" s="9"/>
      <c r="L93" s="9">
        <f t="shared" si="12"/>
        <v>88</v>
      </c>
    </row>
    <row r="94">
      <c r="A94" s="8">
        <v>167.0</v>
      </c>
      <c r="B94" s="2" t="s">
        <v>248</v>
      </c>
      <c r="C94" s="2" t="s">
        <v>249</v>
      </c>
      <c r="D94" s="2" t="s">
        <v>91</v>
      </c>
      <c r="E94" s="8">
        <v>88.0</v>
      </c>
      <c r="F94" s="8">
        <v>84.0</v>
      </c>
      <c r="G94" s="8">
        <v>90.0</v>
      </c>
      <c r="H94" s="9">
        <f t="shared" si="1"/>
        <v>262</v>
      </c>
      <c r="I94" s="10">
        <f t="shared" si="2"/>
        <v>0.8733333333</v>
      </c>
      <c r="J94" s="9" t="str">
        <f t="shared" si="3"/>
        <v>PASS</v>
      </c>
      <c r="K94" s="9"/>
      <c r="L94" s="9">
        <f t="shared" si="12"/>
        <v>88</v>
      </c>
    </row>
    <row r="95">
      <c r="A95" s="8">
        <v>61.0</v>
      </c>
      <c r="B95" s="2" t="s">
        <v>250</v>
      </c>
      <c r="C95" s="2" t="s">
        <v>251</v>
      </c>
      <c r="D95" s="2" t="s">
        <v>82</v>
      </c>
      <c r="E95" s="8">
        <v>87.0</v>
      </c>
      <c r="F95" s="8">
        <v>85.0</v>
      </c>
      <c r="G95" s="8">
        <v>89.0</v>
      </c>
      <c r="H95" s="9">
        <f t="shared" si="1"/>
        <v>261</v>
      </c>
      <c r="I95" s="10">
        <f t="shared" si="2"/>
        <v>0.87</v>
      </c>
      <c r="J95" s="9" t="str">
        <f t="shared" si="3"/>
        <v>PASS</v>
      </c>
      <c r="K95" s="9"/>
      <c r="L95" s="9">
        <f t="shared" si="12"/>
        <v>92</v>
      </c>
    </row>
    <row r="96">
      <c r="A96" s="8">
        <v>151.0</v>
      </c>
      <c r="B96" s="2" t="s">
        <v>252</v>
      </c>
      <c r="C96" s="2" t="s">
        <v>253</v>
      </c>
      <c r="D96" s="2" t="s">
        <v>91</v>
      </c>
      <c r="E96" s="8">
        <v>85.0</v>
      </c>
      <c r="F96" s="8">
        <v>87.0</v>
      </c>
      <c r="G96" s="8">
        <v>89.0</v>
      </c>
      <c r="H96" s="9">
        <f t="shared" si="1"/>
        <v>261</v>
      </c>
      <c r="I96" s="10">
        <f t="shared" si="2"/>
        <v>0.87</v>
      </c>
      <c r="J96" s="9" t="str">
        <f t="shared" si="3"/>
        <v>PASS</v>
      </c>
      <c r="K96" s="9"/>
      <c r="L96" s="9">
        <f t="shared" si="12"/>
        <v>92</v>
      </c>
    </row>
    <row r="97">
      <c r="A97" s="8">
        <v>181.0</v>
      </c>
      <c r="B97" s="2" t="s">
        <v>254</v>
      </c>
      <c r="C97" s="2" t="s">
        <v>255</v>
      </c>
      <c r="D97" s="2" t="s">
        <v>79</v>
      </c>
      <c r="E97" s="8">
        <v>86.0</v>
      </c>
      <c r="F97" s="8">
        <v>85.0</v>
      </c>
      <c r="G97" s="8">
        <v>90.0</v>
      </c>
      <c r="H97" s="9">
        <f t="shared" si="1"/>
        <v>261</v>
      </c>
      <c r="I97" s="10">
        <f t="shared" si="2"/>
        <v>0.87</v>
      </c>
      <c r="J97" s="9" t="str">
        <f t="shared" si="3"/>
        <v>PASS</v>
      </c>
      <c r="K97" s="9"/>
      <c r="L97" s="9">
        <f t="shared" si="12"/>
        <v>92</v>
      </c>
    </row>
    <row r="98">
      <c r="A98" s="8">
        <v>171.0</v>
      </c>
      <c r="B98" s="2" t="s">
        <v>256</v>
      </c>
      <c r="C98" s="2" t="s">
        <v>257</v>
      </c>
      <c r="D98" s="2" t="s">
        <v>79</v>
      </c>
      <c r="E98" s="8">
        <v>87.0</v>
      </c>
      <c r="F98" s="8">
        <v>82.0</v>
      </c>
      <c r="G98" s="8">
        <v>91.0</v>
      </c>
      <c r="H98" s="9">
        <f t="shared" si="1"/>
        <v>260</v>
      </c>
      <c r="I98" s="10">
        <f t="shared" si="2"/>
        <v>0.8666666667</v>
      </c>
      <c r="J98" s="9" t="str">
        <f t="shared" si="3"/>
        <v>PASS</v>
      </c>
      <c r="K98" s="9"/>
      <c r="L98" s="9">
        <f t="shared" si="12"/>
        <v>95</v>
      </c>
    </row>
    <row r="99">
      <c r="A99" s="8">
        <v>30.0</v>
      </c>
      <c r="B99" s="2" t="s">
        <v>258</v>
      </c>
      <c r="C99" s="2" t="s">
        <v>259</v>
      </c>
      <c r="D99" s="2" t="s">
        <v>109</v>
      </c>
      <c r="E99" s="8">
        <v>86.0</v>
      </c>
      <c r="F99" s="8">
        <v>89.0</v>
      </c>
      <c r="G99" s="8">
        <v>84.0</v>
      </c>
      <c r="H99" s="9">
        <f t="shared" si="1"/>
        <v>259</v>
      </c>
      <c r="I99" s="10">
        <f t="shared" si="2"/>
        <v>0.8633333333</v>
      </c>
      <c r="J99" s="9" t="str">
        <f t="shared" si="3"/>
        <v>PASS</v>
      </c>
      <c r="K99" s="9"/>
      <c r="L99" s="9">
        <f t="shared" si="12"/>
        <v>96</v>
      </c>
    </row>
    <row r="100">
      <c r="A100" s="8">
        <v>34.0</v>
      </c>
      <c r="B100" s="2" t="s">
        <v>260</v>
      </c>
      <c r="C100" s="2" t="s">
        <v>261</v>
      </c>
      <c r="D100" s="2" t="s">
        <v>62</v>
      </c>
      <c r="E100" s="8">
        <v>88.0</v>
      </c>
      <c r="F100" s="8">
        <v>84.0</v>
      </c>
      <c r="G100" s="8">
        <v>87.0</v>
      </c>
      <c r="H100" s="9">
        <f t="shared" si="1"/>
        <v>259</v>
      </c>
      <c r="I100" s="10">
        <f t="shared" si="2"/>
        <v>0.8633333333</v>
      </c>
      <c r="J100" s="9" t="str">
        <f t="shared" si="3"/>
        <v>PASS</v>
      </c>
      <c r="K100" s="9"/>
      <c r="L100" s="9">
        <f t="shared" si="12"/>
        <v>96</v>
      </c>
    </row>
    <row r="101">
      <c r="A101" s="8">
        <v>96.0</v>
      </c>
      <c r="B101" s="2" t="s">
        <v>262</v>
      </c>
      <c r="C101" s="2" t="s">
        <v>263</v>
      </c>
      <c r="D101" s="2" t="s">
        <v>79</v>
      </c>
      <c r="E101" s="8">
        <v>86.0</v>
      </c>
      <c r="F101" s="8">
        <v>83.0</v>
      </c>
      <c r="G101" s="8">
        <v>90.0</v>
      </c>
      <c r="H101" s="9">
        <f t="shared" si="1"/>
        <v>259</v>
      </c>
      <c r="I101" s="10">
        <f t="shared" si="2"/>
        <v>0.8633333333</v>
      </c>
      <c r="J101" s="9" t="str">
        <f t="shared" si="3"/>
        <v>PASS</v>
      </c>
      <c r="K101" s="9"/>
      <c r="L101" s="9">
        <f t="shared" si="12"/>
        <v>96</v>
      </c>
    </row>
    <row r="102">
      <c r="A102" s="8">
        <v>132.0</v>
      </c>
      <c r="B102" s="2" t="s">
        <v>264</v>
      </c>
      <c r="C102" s="2" t="s">
        <v>265</v>
      </c>
      <c r="D102" s="2" t="s">
        <v>94</v>
      </c>
      <c r="E102" s="8">
        <v>83.0</v>
      </c>
      <c r="F102" s="8">
        <v>91.0</v>
      </c>
      <c r="G102" s="8">
        <v>85.0</v>
      </c>
      <c r="H102" s="9">
        <f t="shared" si="1"/>
        <v>259</v>
      </c>
      <c r="I102" s="10">
        <f t="shared" si="2"/>
        <v>0.8633333333</v>
      </c>
      <c r="J102" s="9" t="str">
        <f t="shared" si="3"/>
        <v>PASS</v>
      </c>
      <c r="K102" s="9"/>
      <c r="L102" s="9">
        <f t="shared" si="12"/>
        <v>96</v>
      </c>
    </row>
    <row r="103">
      <c r="A103" s="8">
        <v>185.0</v>
      </c>
      <c r="B103" s="2" t="s">
        <v>266</v>
      </c>
      <c r="C103" s="2" t="s">
        <v>267</v>
      </c>
      <c r="D103" s="2" t="s">
        <v>82</v>
      </c>
      <c r="E103" s="8">
        <v>88.0</v>
      </c>
      <c r="F103" s="8">
        <v>82.0</v>
      </c>
      <c r="G103" s="8">
        <v>89.0</v>
      </c>
      <c r="H103" s="9">
        <f t="shared" si="1"/>
        <v>259</v>
      </c>
      <c r="I103" s="10">
        <f t="shared" si="2"/>
        <v>0.8633333333</v>
      </c>
      <c r="J103" s="9" t="str">
        <f t="shared" si="3"/>
        <v>PASS</v>
      </c>
      <c r="K103" s="9"/>
      <c r="L103" s="9">
        <f t="shared" si="12"/>
        <v>96</v>
      </c>
    </row>
    <row r="104">
      <c r="A104" s="8">
        <v>49.0</v>
      </c>
      <c r="B104" s="2" t="s">
        <v>268</v>
      </c>
      <c r="C104" s="2" t="s">
        <v>269</v>
      </c>
      <c r="D104" s="2" t="s">
        <v>62</v>
      </c>
      <c r="E104" s="8">
        <v>86.0</v>
      </c>
      <c r="F104" s="8">
        <v>84.0</v>
      </c>
      <c r="G104" s="8">
        <v>88.0</v>
      </c>
      <c r="H104" s="9">
        <f t="shared" si="1"/>
        <v>258</v>
      </c>
      <c r="I104" s="10">
        <f t="shared" si="2"/>
        <v>0.86</v>
      </c>
      <c r="J104" s="9" t="str">
        <f t="shared" si="3"/>
        <v>PASS</v>
      </c>
      <c r="K104" s="9"/>
      <c r="L104" s="9">
        <f t="shared" si="12"/>
        <v>101</v>
      </c>
    </row>
    <row r="105">
      <c r="A105" s="8">
        <v>105.0</v>
      </c>
      <c r="B105" s="2" t="s">
        <v>270</v>
      </c>
      <c r="C105" s="2" t="s">
        <v>271</v>
      </c>
      <c r="D105" s="2" t="s">
        <v>28</v>
      </c>
      <c r="E105" s="8">
        <v>87.0</v>
      </c>
      <c r="F105" s="8">
        <v>80.0</v>
      </c>
      <c r="G105" s="8">
        <v>91.0</v>
      </c>
      <c r="H105" s="9">
        <f t="shared" si="1"/>
        <v>258</v>
      </c>
      <c r="I105" s="10">
        <f t="shared" si="2"/>
        <v>0.86</v>
      </c>
      <c r="J105" s="9" t="str">
        <f t="shared" si="3"/>
        <v>PASS</v>
      </c>
      <c r="K105" s="9"/>
      <c r="L105" s="9">
        <f t="shared" si="12"/>
        <v>101</v>
      </c>
    </row>
    <row r="106">
      <c r="A106" s="8">
        <v>191.0</v>
      </c>
      <c r="B106" s="2" t="s">
        <v>272</v>
      </c>
      <c r="C106" s="2" t="s">
        <v>273</v>
      </c>
      <c r="D106" s="2" t="s">
        <v>79</v>
      </c>
      <c r="E106" s="8">
        <v>87.0</v>
      </c>
      <c r="F106" s="8">
        <v>83.0</v>
      </c>
      <c r="G106" s="8">
        <v>88.0</v>
      </c>
      <c r="H106" s="9">
        <f t="shared" si="1"/>
        <v>258</v>
      </c>
      <c r="I106" s="10">
        <f t="shared" si="2"/>
        <v>0.86</v>
      </c>
      <c r="J106" s="9" t="str">
        <f t="shared" si="3"/>
        <v>PASS</v>
      </c>
      <c r="K106" s="9"/>
      <c r="L106" s="9">
        <f t="shared" si="12"/>
        <v>101</v>
      </c>
    </row>
    <row r="107">
      <c r="A107" s="8">
        <v>73.0</v>
      </c>
      <c r="B107" s="2" t="s">
        <v>274</v>
      </c>
      <c r="C107" s="2" t="s">
        <v>275</v>
      </c>
      <c r="D107" s="2" t="s">
        <v>79</v>
      </c>
      <c r="E107" s="8">
        <v>86.0</v>
      </c>
      <c r="F107" s="8">
        <v>82.0</v>
      </c>
      <c r="G107" s="8">
        <v>89.0</v>
      </c>
      <c r="H107" s="9">
        <f t="shared" si="1"/>
        <v>257</v>
      </c>
      <c r="I107" s="10">
        <f t="shared" si="2"/>
        <v>0.8566666667</v>
      </c>
      <c r="J107" s="9" t="str">
        <f t="shared" si="3"/>
        <v>PASS</v>
      </c>
      <c r="K107" s="9"/>
      <c r="L107" s="9">
        <f t="shared" si="12"/>
        <v>104</v>
      </c>
    </row>
    <row r="108">
      <c r="A108" s="8">
        <v>115.0</v>
      </c>
      <c r="B108" s="2" t="s">
        <v>276</v>
      </c>
      <c r="C108" s="2" t="s">
        <v>277</v>
      </c>
      <c r="D108" s="2" t="s">
        <v>85</v>
      </c>
      <c r="E108" s="8">
        <v>86.0</v>
      </c>
      <c r="F108" s="8">
        <v>82.0</v>
      </c>
      <c r="G108" s="8">
        <v>89.0</v>
      </c>
      <c r="H108" s="9">
        <f t="shared" si="1"/>
        <v>257</v>
      </c>
      <c r="I108" s="10">
        <f t="shared" si="2"/>
        <v>0.8566666667</v>
      </c>
      <c r="J108" s="9" t="str">
        <f t="shared" si="3"/>
        <v>PASS</v>
      </c>
      <c r="K108" s="9"/>
      <c r="L108" s="9">
        <f t="shared" si="12"/>
        <v>104</v>
      </c>
    </row>
    <row r="109">
      <c r="A109" s="8">
        <v>175.0</v>
      </c>
      <c r="B109" s="2" t="s">
        <v>278</v>
      </c>
      <c r="C109" s="2" t="s">
        <v>279</v>
      </c>
      <c r="D109" s="2" t="s">
        <v>79</v>
      </c>
      <c r="E109" s="8">
        <v>84.0</v>
      </c>
      <c r="F109" s="8">
        <v>87.0</v>
      </c>
      <c r="G109" s="8">
        <v>86.0</v>
      </c>
      <c r="H109" s="9">
        <f t="shared" si="1"/>
        <v>257</v>
      </c>
      <c r="I109" s="10">
        <f t="shared" si="2"/>
        <v>0.8566666667</v>
      </c>
      <c r="J109" s="9" t="str">
        <f t="shared" si="3"/>
        <v>PASS</v>
      </c>
      <c r="K109" s="9"/>
      <c r="L109" s="9">
        <f t="shared" si="12"/>
        <v>104</v>
      </c>
    </row>
    <row r="110">
      <c r="A110" s="8">
        <v>199.0</v>
      </c>
      <c r="B110" s="2" t="s">
        <v>280</v>
      </c>
      <c r="C110" s="2" t="s">
        <v>281</v>
      </c>
      <c r="D110" s="2" t="s">
        <v>79</v>
      </c>
      <c r="E110" s="8">
        <v>86.0</v>
      </c>
      <c r="F110" s="8">
        <v>82.0</v>
      </c>
      <c r="G110" s="8">
        <v>89.0</v>
      </c>
      <c r="H110" s="9">
        <f t="shared" si="1"/>
        <v>257</v>
      </c>
      <c r="I110" s="10">
        <f t="shared" si="2"/>
        <v>0.8566666667</v>
      </c>
      <c r="J110" s="9" t="str">
        <f t="shared" si="3"/>
        <v>PASS</v>
      </c>
      <c r="K110" s="9"/>
      <c r="L110" s="9">
        <f t="shared" si="12"/>
        <v>104</v>
      </c>
    </row>
    <row r="111">
      <c r="A111" s="8">
        <v>17.0</v>
      </c>
      <c r="B111" s="2" t="s">
        <v>282</v>
      </c>
      <c r="C111" s="2" t="s">
        <v>283</v>
      </c>
      <c r="D111" s="2" t="s">
        <v>39</v>
      </c>
      <c r="E111" s="8">
        <v>86.0</v>
      </c>
      <c r="F111" s="8">
        <v>80.0</v>
      </c>
      <c r="G111" s="8">
        <v>89.0</v>
      </c>
      <c r="H111" s="9">
        <f t="shared" si="1"/>
        <v>255</v>
      </c>
      <c r="I111" s="10">
        <f t="shared" si="2"/>
        <v>0.85</v>
      </c>
      <c r="J111" s="9" t="str">
        <f t="shared" si="3"/>
        <v>PASS</v>
      </c>
      <c r="K111" s="9"/>
      <c r="L111" s="9">
        <f t="shared" si="12"/>
        <v>108</v>
      </c>
    </row>
    <row r="112">
      <c r="A112" s="8">
        <v>125.0</v>
      </c>
      <c r="B112" s="2" t="s">
        <v>284</v>
      </c>
      <c r="C112" s="2" t="s">
        <v>285</v>
      </c>
      <c r="D112" s="2" t="s">
        <v>88</v>
      </c>
      <c r="E112" s="8">
        <v>85.0</v>
      </c>
      <c r="F112" s="8">
        <v>82.0</v>
      </c>
      <c r="G112" s="8">
        <v>88.0</v>
      </c>
      <c r="H112" s="9">
        <f t="shared" si="1"/>
        <v>255</v>
      </c>
      <c r="I112" s="10">
        <f t="shared" si="2"/>
        <v>0.85</v>
      </c>
      <c r="J112" s="9" t="str">
        <f t="shared" si="3"/>
        <v>PASS</v>
      </c>
      <c r="K112" s="9"/>
      <c r="L112" s="9">
        <f t="shared" si="12"/>
        <v>108</v>
      </c>
    </row>
    <row r="113">
      <c r="A113" s="8">
        <v>63.0</v>
      </c>
      <c r="B113" s="2" t="s">
        <v>286</v>
      </c>
      <c r="C113" s="2" t="s">
        <v>287</v>
      </c>
      <c r="D113" s="2" t="s">
        <v>47</v>
      </c>
      <c r="E113" s="8">
        <v>82.0</v>
      </c>
      <c r="F113" s="8">
        <v>88.0</v>
      </c>
      <c r="G113" s="8">
        <v>84.0</v>
      </c>
      <c r="H113" s="9">
        <f t="shared" si="1"/>
        <v>254</v>
      </c>
      <c r="I113" s="10">
        <f t="shared" si="2"/>
        <v>0.8466666667</v>
      </c>
      <c r="J113" s="9" t="str">
        <f t="shared" si="3"/>
        <v>PASS</v>
      </c>
      <c r="K113" s="9"/>
      <c r="L113" s="9">
        <f t="shared" si="12"/>
        <v>110</v>
      </c>
    </row>
    <row r="114">
      <c r="A114" s="8">
        <v>101.0</v>
      </c>
      <c r="B114" s="2" t="s">
        <v>288</v>
      </c>
      <c r="C114" s="2" t="s">
        <v>289</v>
      </c>
      <c r="D114" s="2" t="s">
        <v>58</v>
      </c>
      <c r="E114" s="8">
        <v>84.0</v>
      </c>
      <c r="F114" s="8">
        <v>82.0</v>
      </c>
      <c r="G114" s="8">
        <v>87.0</v>
      </c>
      <c r="H114" s="9">
        <f t="shared" si="1"/>
        <v>253</v>
      </c>
      <c r="I114" s="10">
        <f t="shared" si="2"/>
        <v>0.8433333333</v>
      </c>
      <c r="J114" s="9" t="str">
        <f t="shared" si="3"/>
        <v>PASS</v>
      </c>
      <c r="K114" s="9"/>
      <c r="L114" s="9">
        <f t="shared" si="12"/>
        <v>111</v>
      </c>
    </row>
    <row r="115">
      <c r="A115" s="8">
        <v>161.0</v>
      </c>
      <c r="B115" s="2" t="s">
        <v>290</v>
      </c>
      <c r="C115" s="2" t="s">
        <v>291</v>
      </c>
      <c r="D115" s="2" t="s">
        <v>79</v>
      </c>
      <c r="E115" s="8">
        <v>86.0</v>
      </c>
      <c r="F115" s="8">
        <v>79.0</v>
      </c>
      <c r="G115" s="8">
        <v>88.0</v>
      </c>
      <c r="H115" s="9">
        <f t="shared" si="1"/>
        <v>253</v>
      </c>
      <c r="I115" s="10">
        <f t="shared" si="2"/>
        <v>0.8433333333</v>
      </c>
      <c r="J115" s="9" t="str">
        <f t="shared" si="3"/>
        <v>PASS</v>
      </c>
      <c r="K115" s="9"/>
      <c r="L115" s="9">
        <f t="shared" si="12"/>
        <v>111</v>
      </c>
    </row>
    <row r="116">
      <c r="A116" s="8">
        <v>165.0</v>
      </c>
      <c r="B116" s="2" t="s">
        <v>292</v>
      </c>
      <c r="C116" s="2" t="s">
        <v>293</v>
      </c>
      <c r="D116" s="2" t="s">
        <v>79</v>
      </c>
      <c r="E116" s="8">
        <v>85.0</v>
      </c>
      <c r="F116" s="8">
        <v>81.0</v>
      </c>
      <c r="G116" s="8">
        <v>87.0</v>
      </c>
      <c r="H116" s="9">
        <f t="shared" si="1"/>
        <v>253</v>
      </c>
      <c r="I116" s="10">
        <f t="shared" si="2"/>
        <v>0.8433333333</v>
      </c>
      <c r="J116" s="9" t="str">
        <f t="shared" si="3"/>
        <v>PASS</v>
      </c>
      <c r="K116" s="9"/>
      <c r="L116" s="9">
        <f t="shared" si="12"/>
        <v>111</v>
      </c>
    </row>
    <row r="117">
      <c r="A117" s="8">
        <v>107.0</v>
      </c>
      <c r="B117" s="2" t="s">
        <v>294</v>
      </c>
      <c r="C117" s="2" t="s">
        <v>295</v>
      </c>
      <c r="D117" s="2" t="s">
        <v>82</v>
      </c>
      <c r="E117" s="8">
        <v>82.0</v>
      </c>
      <c r="F117" s="8">
        <v>84.0</v>
      </c>
      <c r="G117" s="8">
        <v>86.0</v>
      </c>
      <c r="H117" s="9">
        <f t="shared" si="1"/>
        <v>252</v>
      </c>
      <c r="I117" s="10">
        <f t="shared" si="2"/>
        <v>0.84</v>
      </c>
      <c r="J117" s="9" t="str">
        <f t="shared" si="3"/>
        <v>PASS</v>
      </c>
      <c r="K117" s="9"/>
      <c r="L117" s="9">
        <f t="shared" si="12"/>
        <v>114</v>
      </c>
    </row>
    <row r="118">
      <c r="A118" s="8">
        <v>189.0</v>
      </c>
      <c r="B118" s="2" t="s">
        <v>296</v>
      </c>
      <c r="C118" s="2" t="s">
        <v>297</v>
      </c>
      <c r="D118" s="2" t="s">
        <v>94</v>
      </c>
      <c r="E118" s="8">
        <v>85.0</v>
      </c>
      <c r="F118" s="8">
        <v>80.0</v>
      </c>
      <c r="G118" s="8">
        <v>87.0</v>
      </c>
      <c r="H118" s="9">
        <f t="shared" si="1"/>
        <v>252</v>
      </c>
      <c r="I118" s="10">
        <f t="shared" si="2"/>
        <v>0.84</v>
      </c>
      <c r="J118" s="9" t="str">
        <f t="shared" si="3"/>
        <v>PASS</v>
      </c>
      <c r="K118" s="9"/>
      <c r="L118" s="9">
        <f t="shared" si="12"/>
        <v>114</v>
      </c>
    </row>
    <row r="119">
      <c r="A119" s="8">
        <v>56.0</v>
      </c>
      <c r="B119" s="2" t="s">
        <v>298</v>
      </c>
      <c r="C119" s="2" t="s">
        <v>299</v>
      </c>
      <c r="D119" s="2" t="s">
        <v>88</v>
      </c>
      <c r="E119" s="8">
        <v>83.0</v>
      </c>
      <c r="F119" s="8">
        <v>87.0</v>
      </c>
      <c r="G119" s="8">
        <v>81.0</v>
      </c>
      <c r="H119" s="9">
        <f t="shared" si="1"/>
        <v>251</v>
      </c>
      <c r="I119" s="10">
        <f t="shared" si="2"/>
        <v>0.8366666667</v>
      </c>
      <c r="J119" s="9" t="str">
        <f t="shared" si="3"/>
        <v>PASS</v>
      </c>
      <c r="K119" s="9"/>
      <c r="L119" s="9">
        <f t="shared" si="12"/>
        <v>116</v>
      </c>
    </row>
    <row r="120">
      <c r="A120" s="8">
        <v>92.0</v>
      </c>
      <c r="B120" s="2" t="s">
        <v>300</v>
      </c>
      <c r="C120" s="2" t="s">
        <v>301</v>
      </c>
      <c r="D120" s="2" t="s">
        <v>39</v>
      </c>
      <c r="E120" s="8">
        <v>83.0</v>
      </c>
      <c r="F120" s="8">
        <v>87.0</v>
      </c>
      <c r="G120" s="8">
        <v>81.0</v>
      </c>
      <c r="H120" s="9">
        <f t="shared" si="1"/>
        <v>251</v>
      </c>
      <c r="I120" s="10">
        <f t="shared" si="2"/>
        <v>0.8366666667</v>
      </c>
      <c r="J120" s="9" t="str">
        <f t="shared" si="3"/>
        <v>PASS</v>
      </c>
      <c r="K120" s="9"/>
      <c r="L120" s="9">
        <f t="shared" si="12"/>
        <v>116</v>
      </c>
    </row>
    <row r="121">
      <c r="A121" s="8">
        <v>37.0</v>
      </c>
      <c r="B121" s="2" t="s">
        <v>302</v>
      </c>
      <c r="C121" s="2" t="s">
        <v>303</v>
      </c>
      <c r="D121" s="2" t="s">
        <v>103</v>
      </c>
      <c r="E121" s="8">
        <v>85.0</v>
      </c>
      <c r="F121" s="8">
        <v>77.0</v>
      </c>
      <c r="G121" s="8">
        <v>88.0</v>
      </c>
      <c r="H121" s="9">
        <f t="shared" si="1"/>
        <v>250</v>
      </c>
      <c r="I121" s="10">
        <f t="shared" si="2"/>
        <v>0.8333333333</v>
      </c>
      <c r="J121" s="9" t="str">
        <f t="shared" si="3"/>
        <v>PASS</v>
      </c>
      <c r="K121" s="9"/>
      <c r="L121" s="9">
        <f t="shared" si="12"/>
        <v>118</v>
      </c>
    </row>
    <row r="122">
      <c r="A122" s="8">
        <v>44.0</v>
      </c>
      <c r="B122" s="2" t="s">
        <v>304</v>
      </c>
      <c r="C122" s="2" t="s">
        <v>305</v>
      </c>
      <c r="D122" s="2" t="s">
        <v>39</v>
      </c>
      <c r="E122" s="8">
        <v>80.0</v>
      </c>
      <c r="F122" s="8">
        <v>88.0</v>
      </c>
      <c r="G122" s="8">
        <v>82.0</v>
      </c>
      <c r="H122" s="9">
        <f t="shared" si="1"/>
        <v>250</v>
      </c>
      <c r="I122" s="10">
        <f t="shared" si="2"/>
        <v>0.8333333333</v>
      </c>
      <c r="J122" s="9" t="str">
        <f t="shared" si="3"/>
        <v>PASS</v>
      </c>
      <c r="K122" s="9"/>
      <c r="L122" s="9">
        <f t="shared" si="12"/>
        <v>118</v>
      </c>
    </row>
    <row r="123">
      <c r="A123" s="8">
        <v>67.0</v>
      </c>
      <c r="B123" s="2" t="s">
        <v>306</v>
      </c>
      <c r="C123" s="2" t="s">
        <v>307</v>
      </c>
      <c r="D123" s="2" t="s">
        <v>79</v>
      </c>
      <c r="E123" s="8">
        <v>85.0</v>
      </c>
      <c r="F123" s="8">
        <v>77.0</v>
      </c>
      <c r="G123" s="8">
        <v>88.0</v>
      </c>
      <c r="H123" s="9">
        <f t="shared" si="1"/>
        <v>250</v>
      </c>
      <c r="I123" s="10">
        <f t="shared" si="2"/>
        <v>0.8333333333</v>
      </c>
      <c r="J123" s="9" t="str">
        <f t="shared" si="3"/>
        <v>PASS</v>
      </c>
      <c r="K123" s="9"/>
      <c r="L123" s="9">
        <f t="shared" si="12"/>
        <v>118</v>
      </c>
    </row>
    <row r="124">
      <c r="A124" s="8">
        <v>86.0</v>
      </c>
      <c r="B124" s="2" t="s">
        <v>308</v>
      </c>
      <c r="C124" s="2" t="s">
        <v>309</v>
      </c>
      <c r="D124" s="2" t="s">
        <v>112</v>
      </c>
      <c r="E124" s="8">
        <v>84.0</v>
      </c>
      <c r="F124" s="8">
        <v>79.0</v>
      </c>
      <c r="G124" s="8">
        <v>87.0</v>
      </c>
      <c r="H124" s="9">
        <f t="shared" si="1"/>
        <v>250</v>
      </c>
      <c r="I124" s="10">
        <f t="shared" si="2"/>
        <v>0.8333333333</v>
      </c>
      <c r="J124" s="9" t="str">
        <f t="shared" si="3"/>
        <v>PASS</v>
      </c>
      <c r="K124" s="9"/>
      <c r="L124" s="9">
        <f t="shared" si="12"/>
        <v>118</v>
      </c>
    </row>
    <row r="125">
      <c r="A125" s="8">
        <v>177.0</v>
      </c>
      <c r="B125" s="2" t="s">
        <v>310</v>
      </c>
      <c r="C125" s="2" t="s">
        <v>311</v>
      </c>
      <c r="D125" s="2" t="s">
        <v>85</v>
      </c>
      <c r="E125" s="8">
        <v>82.0</v>
      </c>
      <c r="F125" s="8">
        <v>80.0</v>
      </c>
      <c r="G125" s="8">
        <v>88.0</v>
      </c>
      <c r="H125" s="9">
        <f t="shared" si="1"/>
        <v>250</v>
      </c>
      <c r="I125" s="10">
        <f t="shared" si="2"/>
        <v>0.8333333333</v>
      </c>
      <c r="J125" s="9" t="str">
        <f t="shared" si="3"/>
        <v>PASS</v>
      </c>
      <c r="K125" s="9"/>
      <c r="L125" s="9">
        <f t="shared" si="12"/>
        <v>118</v>
      </c>
    </row>
    <row r="126">
      <c r="A126" s="8">
        <v>187.0</v>
      </c>
      <c r="B126" s="2" t="s">
        <v>312</v>
      </c>
      <c r="C126" s="2" t="s">
        <v>313</v>
      </c>
      <c r="D126" s="2" t="s">
        <v>79</v>
      </c>
      <c r="E126" s="8">
        <v>81.0</v>
      </c>
      <c r="F126" s="8">
        <v>86.0</v>
      </c>
      <c r="G126" s="8">
        <v>83.0</v>
      </c>
      <c r="H126" s="9">
        <f t="shared" si="1"/>
        <v>250</v>
      </c>
      <c r="I126" s="10">
        <f t="shared" si="2"/>
        <v>0.8333333333</v>
      </c>
      <c r="J126" s="9" t="str">
        <f t="shared" si="3"/>
        <v>PASS</v>
      </c>
      <c r="K126" s="9"/>
      <c r="L126" s="9">
        <f t="shared" si="12"/>
        <v>118</v>
      </c>
    </row>
    <row r="127">
      <c r="A127" s="8">
        <v>195.0</v>
      </c>
      <c r="B127" s="2" t="s">
        <v>314</v>
      </c>
      <c r="C127" s="2" t="s">
        <v>315</v>
      </c>
      <c r="D127" s="2" t="s">
        <v>79</v>
      </c>
      <c r="E127" s="8">
        <v>83.0</v>
      </c>
      <c r="F127" s="8">
        <v>81.0</v>
      </c>
      <c r="G127" s="8">
        <v>86.0</v>
      </c>
      <c r="H127" s="9">
        <f t="shared" si="1"/>
        <v>250</v>
      </c>
      <c r="I127" s="10">
        <f t="shared" si="2"/>
        <v>0.8333333333</v>
      </c>
      <c r="J127" s="9" t="str">
        <f t="shared" si="3"/>
        <v>PASS</v>
      </c>
      <c r="K127" s="9"/>
      <c r="L127" s="9">
        <f t="shared" si="12"/>
        <v>118</v>
      </c>
    </row>
    <row r="128">
      <c r="A128" s="8">
        <v>78.0</v>
      </c>
      <c r="B128" s="2" t="s">
        <v>316</v>
      </c>
      <c r="C128" s="2" t="s">
        <v>317</v>
      </c>
      <c r="D128" s="2" t="s">
        <v>79</v>
      </c>
      <c r="E128" s="8">
        <v>83.0</v>
      </c>
      <c r="F128" s="8">
        <v>80.0</v>
      </c>
      <c r="G128" s="8">
        <v>86.0</v>
      </c>
      <c r="H128" s="9">
        <f t="shared" si="1"/>
        <v>249</v>
      </c>
      <c r="I128" s="10">
        <f t="shared" si="2"/>
        <v>0.83</v>
      </c>
      <c r="J128" s="9" t="str">
        <f t="shared" si="3"/>
        <v>PASS</v>
      </c>
      <c r="K128" s="9"/>
      <c r="L128" s="9">
        <f t="shared" si="12"/>
        <v>125</v>
      </c>
    </row>
    <row r="129">
      <c r="A129" s="8">
        <v>153.0</v>
      </c>
      <c r="B129" s="2" t="s">
        <v>318</v>
      </c>
      <c r="C129" s="2" t="s">
        <v>319</v>
      </c>
      <c r="D129" s="2" t="s">
        <v>79</v>
      </c>
      <c r="E129" s="8">
        <v>83.0</v>
      </c>
      <c r="F129" s="8">
        <v>80.0</v>
      </c>
      <c r="G129" s="8">
        <v>86.0</v>
      </c>
      <c r="H129" s="9">
        <f t="shared" si="1"/>
        <v>249</v>
      </c>
      <c r="I129" s="10">
        <f t="shared" si="2"/>
        <v>0.83</v>
      </c>
      <c r="J129" s="9" t="str">
        <f t="shared" si="3"/>
        <v>PASS</v>
      </c>
      <c r="K129" s="9"/>
      <c r="L129" s="9">
        <f t="shared" si="12"/>
        <v>125</v>
      </c>
    </row>
    <row r="130">
      <c r="A130" s="8">
        <v>9.0</v>
      </c>
      <c r="B130" s="2" t="s">
        <v>320</v>
      </c>
      <c r="C130" s="2" t="s">
        <v>321</v>
      </c>
      <c r="D130" s="2" t="s">
        <v>28</v>
      </c>
      <c r="E130" s="8">
        <v>79.0</v>
      </c>
      <c r="F130" s="8">
        <v>86.0</v>
      </c>
      <c r="G130" s="8">
        <v>83.0</v>
      </c>
      <c r="H130" s="9">
        <f t="shared" si="1"/>
        <v>248</v>
      </c>
      <c r="I130" s="10">
        <f t="shared" si="2"/>
        <v>0.8266666667</v>
      </c>
      <c r="J130" s="9" t="str">
        <f t="shared" si="3"/>
        <v>PASS</v>
      </c>
      <c r="K130" s="9"/>
      <c r="L130" s="9">
        <f t="shared" si="12"/>
        <v>127</v>
      </c>
    </row>
    <row r="131">
      <c r="A131" s="8">
        <v>19.0</v>
      </c>
      <c r="B131" s="2" t="s">
        <v>322</v>
      </c>
      <c r="C131" s="2" t="s">
        <v>323</v>
      </c>
      <c r="D131" s="2" t="s">
        <v>103</v>
      </c>
      <c r="E131" s="8">
        <v>82.0</v>
      </c>
      <c r="F131" s="8">
        <v>79.0</v>
      </c>
      <c r="G131" s="8">
        <v>87.0</v>
      </c>
      <c r="H131" s="9">
        <f t="shared" si="1"/>
        <v>248</v>
      </c>
      <c r="I131" s="10">
        <f t="shared" si="2"/>
        <v>0.8266666667</v>
      </c>
      <c r="J131" s="9" t="str">
        <f t="shared" si="3"/>
        <v>PASS</v>
      </c>
      <c r="K131" s="9"/>
      <c r="L131" s="9">
        <f t="shared" si="12"/>
        <v>127</v>
      </c>
    </row>
    <row r="132">
      <c r="A132" s="8">
        <v>39.0</v>
      </c>
      <c r="B132" s="2" t="s">
        <v>324</v>
      </c>
      <c r="C132" s="2" t="s">
        <v>325</v>
      </c>
      <c r="D132" s="2" t="s">
        <v>85</v>
      </c>
      <c r="E132" s="8">
        <v>82.0</v>
      </c>
      <c r="F132" s="8">
        <v>86.0</v>
      </c>
      <c r="G132" s="8">
        <v>80.0</v>
      </c>
      <c r="H132" s="9">
        <f t="shared" si="1"/>
        <v>248</v>
      </c>
      <c r="I132" s="10">
        <f t="shared" si="2"/>
        <v>0.8266666667</v>
      </c>
      <c r="J132" s="9" t="str">
        <f t="shared" si="3"/>
        <v>PASS</v>
      </c>
      <c r="K132" s="9"/>
      <c r="L132" s="9">
        <f t="shared" si="12"/>
        <v>127</v>
      </c>
    </row>
    <row r="133">
      <c r="A133" s="8">
        <v>143.0</v>
      </c>
      <c r="B133" s="2" t="s">
        <v>326</v>
      </c>
      <c r="C133" s="2" t="s">
        <v>327</v>
      </c>
      <c r="D133" s="2" t="s">
        <v>58</v>
      </c>
      <c r="E133" s="8">
        <v>82.0</v>
      </c>
      <c r="F133" s="8">
        <v>79.0</v>
      </c>
      <c r="G133" s="8">
        <v>87.0</v>
      </c>
      <c r="H133" s="9">
        <f t="shared" si="1"/>
        <v>248</v>
      </c>
      <c r="I133" s="10">
        <f t="shared" si="2"/>
        <v>0.8266666667</v>
      </c>
      <c r="J133" s="9" t="str">
        <f t="shared" si="3"/>
        <v>PASS</v>
      </c>
      <c r="K133" s="9"/>
      <c r="L133" s="9">
        <f t="shared" si="12"/>
        <v>127</v>
      </c>
    </row>
    <row r="134">
      <c r="A134" s="8">
        <v>159.0</v>
      </c>
      <c r="B134" s="2" t="s">
        <v>328</v>
      </c>
      <c r="C134" s="2" t="s">
        <v>329</v>
      </c>
      <c r="D134" s="2" t="s">
        <v>58</v>
      </c>
      <c r="E134" s="8">
        <v>82.0</v>
      </c>
      <c r="F134" s="8">
        <v>86.0</v>
      </c>
      <c r="G134" s="8">
        <v>80.0</v>
      </c>
      <c r="H134" s="9">
        <f t="shared" si="1"/>
        <v>248</v>
      </c>
      <c r="I134" s="10">
        <f t="shared" si="2"/>
        <v>0.8266666667</v>
      </c>
      <c r="J134" s="9" t="str">
        <f t="shared" si="3"/>
        <v>PASS</v>
      </c>
      <c r="K134" s="9"/>
      <c r="L134" s="9">
        <f t="shared" si="12"/>
        <v>127</v>
      </c>
    </row>
    <row r="135">
      <c r="A135" s="8">
        <v>169.0</v>
      </c>
      <c r="B135" s="2" t="s">
        <v>330</v>
      </c>
      <c r="C135" s="2" t="s">
        <v>331</v>
      </c>
      <c r="D135" s="2" t="s">
        <v>82</v>
      </c>
      <c r="E135" s="8">
        <v>79.0</v>
      </c>
      <c r="F135" s="8">
        <v>85.0</v>
      </c>
      <c r="G135" s="8">
        <v>83.0</v>
      </c>
      <c r="H135" s="9">
        <f t="shared" si="1"/>
        <v>247</v>
      </c>
      <c r="I135" s="10">
        <f t="shared" si="2"/>
        <v>0.8233333333</v>
      </c>
      <c r="J135" s="9" t="str">
        <f t="shared" si="3"/>
        <v>PASS</v>
      </c>
      <c r="K135" s="9"/>
      <c r="L135" s="9">
        <f t="shared" si="12"/>
        <v>132</v>
      </c>
    </row>
    <row r="136">
      <c r="A136" s="8">
        <v>35.0</v>
      </c>
      <c r="B136" s="2" t="s">
        <v>332</v>
      </c>
      <c r="C136" s="2" t="s">
        <v>333</v>
      </c>
      <c r="D136" s="2" t="s">
        <v>79</v>
      </c>
      <c r="E136" s="8">
        <v>79.0</v>
      </c>
      <c r="F136" s="8">
        <v>82.0</v>
      </c>
      <c r="G136" s="8">
        <v>85.0</v>
      </c>
      <c r="H136" s="9">
        <f t="shared" si="1"/>
        <v>246</v>
      </c>
      <c r="I136" s="10">
        <f t="shared" si="2"/>
        <v>0.82</v>
      </c>
      <c r="J136" s="9" t="str">
        <f t="shared" si="3"/>
        <v>PASS</v>
      </c>
      <c r="K136" s="9"/>
      <c r="L136" s="9">
        <f t="shared" si="12"/>
        <v>133</v>
      </c>
    </row>
    <row r="137">
      <c r="A137" s="8">
        <v>57.0</v>
      </c>
      <c r="B137" s="2" t="s">
        <v>334</v>
      </c>
      <c r="C137" s="2" t="s">
        <v>335</v>
      </c>
      <c r="D137" s="2" t="s">
        <v>112</v>
      </c>
      <c r="E137" s="8">
        <v>79.0</v>
      </c>
      <c r="F137" s="8">
        <v>82.0</v>
      </c>
      <c r="G137" s="8">
        <v>85.0</v>
      </c>
      <c r="H137" s="9">
        <f t="shared" si="1"/>
        <v>246</v>
      </c>
      <c r="I137" s="10">
        <f t="shared" si="2"/>
        <v>0.82</v>
      </c>
      <c r="J137" s="9" t="str">
        <f t="shared" si="3"/>
        <v>PASS</v>
      </c>
      <c r="K137" s="9"/>
      <c r="L137" s="9">
        <f t="shared" si="12"/>
        <v>133</v>
      </c>
    </row>
    <row r="138">
      <c r="A138" s="8">
        <v>60.0</v>
      </c>
      <c r="B138" s="2" t="s">
        <v>336</v>
      </c>
      <c r="C138" s="2" t="s">
        <v>337</v>
      </c>
      <c r="D138" s="2" t="s">
        <v>79</v>
      </c>
      <c r="E138" s="8">
        <v>81.0</v>
      </c>
      <c r="F138" s="8">
        <v>79.0</v>
      </c>
      <c r="G138" s="8">
        <v>86.0</v>
      </c>
      <c r="H138" s="9">
        <f t="shared" si="1"/>
        <v>246</v>
      </c>
      <c r="I138" s="10">
        <f t="shared" si="2"/>
        <v>0.82</v>
      </c>
      <c r="J138" s="9" t="str">
        <f t="shared" si="3"/>
        <v>PASS</v>
      </c>
      <c r="K138" s="9"/>
      <c r="L138" s="9">
        <f t="shared" si="12"/>
        <v>133</v>
      </c>
    </row>
    <row r="139">
      <c r="A139" s="8">
        <v>75.0</v>
      </c>
      <c r="B139" s="2" t="s">
        <v>338</v>
      </c>
      <c r="C139" s="2" t="s">
        <v>339</v>
      </c>
      <c r="D139" s="2" t="s">
        <v>82</v>
      </c>
      <c r="E139" s="8">
        <v>79.0</v>
      </c>
      <c r="F139" s="8">
        <v>85.0</v>
      </c>
      <c r="G139" s="8">
        <v>82.0</v>
      </c>
      <c r="H139" s="9">
        <f t="shared" si="1"/>
        <v>246</v>
      </c>
      <c r="I139" s="10">
        <f t="shared" si="2"/>
        <v>0.82</v>
      </c>
      <c r="J139" s="9" t="str">
        <f t="shared" si="3"/>
        <v>PASS</v>
      </c>
      <c r="K139" s="9"/>
      <c r="L139" s="9">
        <f t="shared" si="12"/>
        <v>133</v>
      </c>
    </row>
    <row r="140">
      <c r="A140" s="8">
        <v>113.0</v>
      </c>
      <c r="B140" s="2" t="s">
        <v>340</v>
      </c>
      <c r="C140" s="2" t="s">
        <v>341</v>
      </c>
      <c r="D140" s="2" t="s">
        <v>94</v>
      </c>
      <c r="E140" s="8">
        <v>83.0</v>
      </c>
      <c r="F140" s="8">
        <v>78.0</v>
      </c>
      <c r="G140" s="8">
        <v>85.0</v>
      </c>
      <c r="H140" s="9">
        <f t="shared" si="1"/>
        <v>246</v>
      </c>
      <c r="I140" s="10">
        <f t="shared" si="2"/>
        <v>0.82</v>
      </c>
      <c r="J140" s="9" t="str">
        <f t="shared" si="3"/>
        <v>PASS</v>
      </c>
      <c r="K140" s="9"/>
      <c r="L140" s="9">
        <f t="shared" si="12"/>
        <v>133</v>
      </c>
    </row>
    <row r="141">
      <c r="A141" s="8">
        <v>149.0</v>
      </c>
      <c r="B141" s="2" t="s">
        <v>342</v>
      </c>
      <c r="C141" s="2" t="s">
        <v>343</v>
      </c>
      <c r="D141" s="2" t="s">
        <v>79</v>
      </c>
      <c r="E141" s="8">
        <v>79.0</v>
      </c>
      <c r="F141" s="8">
        <v>82.0</v>
      </c>
      <c r="G141" s="8">
        <v>85.0</v>
      </c>
      <c r="H141" s="9">
        <f t="shared" si="1"/>
        <v>246</v>
      </c>
      <c r="I141" s="10">
        <f t="shared" si="2"/>
        <v>0.82</v>
      </c>
      <c r="J141" s="9" t="str">
        <f t="shared" si="3"/>
        <v>PASS</v>
      </c>
      <c r="K141" s="9"/>
      <c r="L141" s="9">
        <f t="shared" si="12"/>
        <v>133</v>
      </c>
    </row>
    <row r="142">
      <c r="A142" s="8">
        <v>1.0</v>
      </c>
      <c r="B142" s="2" t="s">
        <v>344</v>
      </c>
      <c r="C142" s="2" t="s">
        <v>345</v>
      </c>
      <c r="D142" s="2" t="s">
        <v>79</v>
      </c>
      <c r="E142" s="8">
        <v>85.0</v>
      </c>
      <c r="F142" s="8">
        <v>78.0</v>
      </c>
      <c r="G142" s="8">
        <v>82.0</v>
      </c>
      <c r="H142" s="9">
        <f t="shared" si="1"/>
        <v>245</v>
      </c>
      <c r="I142" s="10">
        <f t="shared" si="2"/>
        <v>0.8166666667</v>
      </c>
      <c r="J142" s="9" t="str">
        <f t="shared" si="3"/>
        <v>PASS</v>
      </c>
      <c r="K142" s="9"/>
      <c r="L142" s="9">
        <f t="shared" si="12"/>
        <v>139</v>
      </c>
    </row>
    <row r="143">
      <c r="A143" s="8">
        <v>25.0</v>
      </c>
      <c r="B143" s="2" t="s">
        <v>346</v>
      </c>
      <c r="C143" s="2" t="s">
        <v>347</v>
      </c>
      <c r="D143" s="2" t="s">
        <v>91</v>
      </c>
      <c r="E143" s="8">
        <v>84.0</v>
      </c>
      <c r="F143" s="8">
        <v>76.0</v>
      </c>
      <c r="G143" s="8">
        <v>85.0</v>
      </c>
      <c r="H143" s="9">
        <f t="shared" si="1"/>
        <v>245</v>
      </c>
      <c r="I143" s="10">
        <f t="shared" si="2"/>
        <v>0.8166666667</v>
      </c>
      <c r="J143" s="9" t="str">
        <f t="shared" si="3"/>
        <v>PASS</v>
      </c>
      <c r="K143" s="9"/>
      <c r="L143" s="9">
        <f t="shared" si="12"/>
        <v>139</v>
      </c>
    </row>
    <row r="144">
      <c r="A144" s="8">
        <v>29.0</v>
      </c>
      <c r="B144" s="2" t="s">
        <v>348</v>
      </c>
      <c r="C144" s="2" t="s">
        <v>349</v>
      </c>
      <c r="D144" s="2" t="s">
        <v>115</v>
      </c>
      <c r="E144" s="8">
        <v>81.0</v>
      </c>
      <c r="F144" s="8">
        <v>85.0</v>
      </c>
      <c r="G144" s="8">
        <v>79.0</v>
      </c>
      <c r="H144" s="9">
        <f t="shared" si="1"/>
        <v>245</v>
      </c>
      <c r="I144" s="10">
        <f t="shared" si="2"/>
        <v>0.8166666667</v>
      </c>
      <c r="J144" s="9" t="str">
        <f t="shared" si="3"/>
        <v>PASS</v>
      </c>
      <c r="K144" s="9"/>
      <c r="L144" s="9">
        <f t="shared" si="12"/>
        <v>139</v>
      </c>
    </row>
    <row r="145">
      <c r="A145" s="8">
        <v>103.0</v>
      </c>
      <c r="B145" s="2" t="s">
        <v>350</v>
      </c>
      <c r="C145" s="2" t="s">
        <v>351</v>
      </c>
      <c r="D145" s="2" t="s">
        <v>112</v>
      </c>
      <c r="E145" s="8">
        <v>79.0</v>
      </c>
      <c r="F145" s="8">
        <v>85.0</v>
      </c>
      <c r="G145" s="8">
        <v>81.0</v>
      </c>
      <c r="H145" s="9">
        <f t="shared" si="1"/>
        <v>245</v>
      </c>
      <c r="I145" s="10">
        <f t="shared" si="2"/>
        <v>0.8166666667</v>
      </c>
      <c r="J145" s="9" t="str">
        <f t="shared" si="3"/>
        <v>PASS</v>
      </c>
      <c r="K145" s="9"/>
      <c r="L145" s="9">
        <f t="shared" si="12"/>
        <v>139</v>
      </c>
    </row>
    <row r="146">
      <c r="A146" s="8">
        <v>145.0</v>
      </c>
      <c r="B146" s="2" t="s">
        <v>352</v>
      </c>
      <c r="C146" s="2" t="s">
        <v>353</v>
      </c>
      <c r="D146" s="2" t="s">
        <v>85</v>
      </c>
      <c r="E146" s="8">
        <v>80.0</v>
      </c>
      <c r="F146" s="8">
        <v>84.0</v>
      </c>
      <c r="G146" s="8">
        <v>81.0</v>
      </c>
      <c r="H146" s="9">
        <f t="shared" si="1"/>
        <v>245</v>
      </c>
      <c r="I146" s="10">
        <f t="shared" si="2"/>
        <v>0.8166666667</v>
      </c>
      <c r="J146" s="9" t="str">
        <f t="shared" si="3"/>
        <v>PASS</v>
      </c>
      <c r="K146" s="9"/>
      <c r="L146" s="9">
        <f t="shared" si="12"/>
        <v>139</v>
      </c>
    </row>
    <row r="147">
      <c r="A147" s="8">
        <v>163.0</v>
      </c>
      <c r="B147" s="2" t="s">
        <v>354</v>
      </c>
      <c r="C147" s="2" t="s">
        <v>355</v>
      </c>
      <c r="D147" s="2" t="s">
        <v>94</v>
      </c>
      <c r="E147" s="8">
        <v>80.0</v>
      </c>
      <c r="F147" s="8">
        <v>83.0</v>
      </c>
      <c r="G147" s="8">
        <v>82.0</v>
      </c>
      <c r="H147" s="9">
        <f t="shared" si="1"/>
        <v>245</v>
      </c>
      <c r="I147" s="10">
        <f t="shared" si="2"/>
        <v>0.8166666667</v>
      </c>
      <c r="J147" s="9" t="str">
        <f t="shared" si="3"/>
        <v>PASS</v>
      </c>
      <c r="K147" s="9"/>
      <c r="L147" s="9">
        <f t="shared" si="12"/>
        <v>139</v>
      </c>
    </row>
    <row r="148">
      <c r="A148" s="8">
        <v>173.0</v>
      </c>
      <c r="B148" s="2" t="s">
        <v>356</v>
      </c>
      <c r="C148" s="2" t="s">
        <v>357</v>
      </c>
      <c r="D148" s="2" t="s">
        <v>94</v>
      </c>
      <c r="E148" s="8">
        <v>81.0</v>
      </c>
      <c r="F148" s="8">
        <v>79.0</v>
      </c>
      <c r="G148" s="8">
        <v>85.0</v>
      </c>
      <c r="H148" s="9">
        <f t="shared" si="1"/>
        <v>245</v>
      </c>
      <c r="I148" s="10">
        <f t="shared" si="2"/>
        <v>0.8166666667</v>
      </c>
      <c r="J148" s="9" t="str">
        <f t="shared" si="3"/>
        <v>PASS</v>
      </c>
      <c r="K148" s="9"/>
      <c r="L148" s="9">
        <f t="shared" si="12"/>
        <v>139</v>
      </c>
    </row>
    <row r="149">
      <c r="A149" s="8">
        <v>193.0</v>
      </c>
      <c r="B149" s="2" t="s">
        <v>358</v>
      </c>
      <c r="C149" s="2" t="s">
        <v>359</v>
      </c>
      <c r="D149" s="2" t="s">
        <v>85</v>
      </c>
      <c r="E149" s="8">
        <v>79.0</v>
      </c>
      <c r="F149" s="8">
        <v>84.0</v>
      </c>
      <c r="G149" s="8">
        <v>82.0</v>
      </c>
      <c r="H149" s="9">
        <f t="shared" si="1"/>
        <v>245</v>
      </c>
      <c r="I149" s="10">
        <f t="shared" si="2"/>
        <v>0.8166666667</v>
      </c>
      <c r="J149" s="9" t="str">
        <f t="shared" si="3"/>
        <v>PASS</v>
      </c>
      <c r="K149" s="9"/>
      <c r="L149" s="9">
        <f t="shared" si="12"/>
        <v>139</v>
      </c>
    </row>
    <row r="150">
      <c r="A150" s="8">
        <v>5.0</v>
      </c>
      <c r="B150" s="2" t="s">
        <v>360</v>
      </c>
      <c r="C150" s="2" t="s">
        <v>361</v>
      </c>
      <c r="D150" s="2" t="s">
        <v>79</v>
      </c>
      <c r="E150" s="8">
        <v>81.0</v>
      </c>
      <c r="F150" s="8">
        <v>75.0</v>
      </c>
      <c r="G150" s="8">
        <v>88.0</v>
      </c>
      <c r="H150" s="9">
        <f t="shared" si="1"/>
        <v>244</v>
      </c>
      <c r="I150" s="10">
        <f t="shared" si="2"/>
        <v>0.8133333333</v>
      </c>
      <c r="J150" s="9" t="str">
        <f t="shared" si="3"/>
        <v>PASS</v>
      </c>
      <c r="K150" s="9"/>
      <c r="L150" s="9">
        <f t="shared" si="12"/>
        <v>147</v>
      </c>
    </row>
    <row r="151">
      <c r="A151" s="8">
        <v>123.0</v>
      </c>
      <c r="B151" s="2" t="s">
        <v>362</v>
      </c>
      <c r="C151" s="2" t="s">
        <v>363</v>
      </c>
      <c r="D151" s="2" t="s">
        <v>82</v>
      </c>
      <c r="E151" s="8">
        <v>78.0</v>
      </c>
      <c r="F151" s="8">
        <v>85.0</v>
      </c>
      <c r="G151" s="8">
        <v>81.0</v>
      </c>
      <c r="H151" s="9">
        <f t="shared" si="1"/>
        <v>244</v>
      </c>
      <c r="I151" s="10">
        <f t="shared" si="2"/>
        <v>0.8133333333</v>
      </c>
      <c r="J151" s="9" t="str">
        <f t="shared" si="3"/>
        <v>PASS</v>
      </c>
      <c r="K151" s="9"/>
      <c r="L151" s="9">
        <f t="shared" si="12"/>
        <v>147</v>
      </c>
    </row>
    <row r="152">
      <c r="A152" s="8">
        <v>135.0</v>
      </c>
      <c r="B152" s="2" t="s">
        <v>364</v>
      </c>
      <c r="C152" s="2" t="s">
        <v>365</v>
      </c>
      <c r="D152" s="2" t="s">
        <v>112</v>
      </c>
      <c r="E152" s="8">
        <v>79.0</v>
      </c>
      <c r="F152" s="8">
        <v>81.0</v>
      </c>
      <c r="G152" s="8">
        <v>84.0</v>
      </c>
      <c r="H152" s="9">
        <f t="shared" si="1"/>
        <v>244</v>
      </c>
      <c r="I152" s="10">
        <f t="shared" si="2"/>
        <v>0.8133333333</v>
      </c>
      <c r="J152" s="9" t="str">
        <f t="shared" si="3"/>
        <v>PASS</v>
      </c>
      <c r="K152" s="9"/>
      <c r="L152" s="9">
        <f t="shared" si="12"/>
        <v>147</v>
      </c>
    </row>
    <row r="153">
      <c r="A153" s="8">
        <v>71.0</v>
      </c>
      <c r="B153" s="2" t="s">
        <v>366</v>
      </c>
      <c r="C153" s="2" t="s">
        <v>367</v>
      </c>
      <c r="D153" s="2" t="s">
        <v>118</v>
      </c>
      <c r="E153" s="8">
        <v>81.0</v>
      </c>
      <c r="F153" s="8">
        <v>79.0</v>
      </c>
      <c r="G153" s="8">
        <v>83.0</v>
      </c>
      <c r="H153" s="9">
        <f t="shared" si="1"/>
        <v>243</v>
      </c>
      <c r="I153" s="10">
        <f t="shared" si="2"/>
        <v>0.81</v>
      </c>
      <c r="J153" s="9" t="str">
        <f t="shared" si="3"/>
        <v>PASS</v>
      </c>
      <c r="K153" s="9"/>
      <c r="L153" s="9">
        <f t="shared" si="12"/>
        <v>150</v>
      </c>
    </row>
    <row r="154">
      <c r="A154" s="8">
        <v>84.0</v>
      </c>
      <c r="B154" s="2" t="s">
        <v>368</v>
      </c>
      <c r="C154" s="2" t="s">
        <v>369</v>
      </c>
      <c r="D154" s="2" t="s">
        <v>79</v>
      </c>
      <c r="E154" s="8">
        <v>77.0</v>
      </c>
      <c r="F154" s="8">
        <v>81.0</v>
      </c>
      <c r="G154" s="8">
        <v>85.0</v>
      </c>
      <c r="H154" s="9">
        <f t="shared" si="1"/>
        <v>243</v>
      </c>
      <c r="I154" s="10">
        <f t="shared" si="2"/>
        <v>0.81</v>
      </c>
      <c r="J154" s="9" t="str">
        <f t="shared" si="3"/>
        <v>PASS</v>
      </c>
      <c r="K154" s="9"/>
      <c r="L154" s="9">
        <f t="shared" si="12"/>
        <v>150</v>
      </c>
    </row>
    <row r="155">
      <c r="A155" s="8">
        <v>69.0</v>
      </c>
      <c r="B155" s="2" t="s">
        <v>370</v>
      </c>
      <c r="C155" s="2" t="s">
        <v>371</v>
      </c>
      <c r="D155" s="2" t="s">
        <v>94</v>
      </c>
      <c r="E155" s="8">
        <v>78.0</v>
      </c>
      <c r="F155" s="8">
        <v>84.0</v>
      </c>
      <c r="G155" s="8">
        <v>80.0</v>
      </c>
      <c r="H155" s="9">
        <f t="shared" si="1"/>
        <v>242</v>
      </c>
      <c r="I155" s="10">
        <f t="shared" si="2"/>
        <v>0.8066666667</v>
      </c>
      <c r="J155" s="9" t="str">
        <f t="shared" si="3"/>
        <v>PASS</v>
      </c>
      <c r="K155" s="9"/>
      <c r="L155" s="9">
        <f t="shared" si="12"/>
        <v>152</v>
      </c>
    </row>
    <row r="156">
      <c r="A156" s="8">
        <v>94.0</v>
      </c>
      <c r="B156" s="2" t="s">
        <v>372</v>
      </c>
      <c r="C156" s="2" t="s">
        <v>373</v>
      </c>
      <c r="D156" s="2" t="s">
        <v>54</v>
      </c>
      <c r="E156" s="8">
        <v>78.0</v>
      </c>
      <c r="F156" s="8">
        <v>80.0</v>
      </c>
      <c r="G156" s="8">
        <v>84.0</v>
      </c>
      <c r="H156" s="9">
        <f t="shared" si="1"/>
        <v>242</v>
      </c>
      <c r="I156" s="10">
        <f t="shared" si="2"/>
        <v>0.8066666667</v>
      </c>
      <c r="J156" s="9" t="str">
        <f t="shared" si="3"/>
        <v>PASS</v>
      </c>
      <c r="K156" s="9"/>
      <c r="L156" s="9">
        <f t="shared" si="12"/>
        <v>152</v>
      </c>
    </row>
    <row r="157">
      <c r="A157" s="8">
        <v>157.0</v>
      </c>
      <c r="B157" s="2" t="s">
        <v>374</v>
      </c>
      <c r="C157" s="2" t="s">
        <v>375</v>
      </c>
      <c r="D157" s="2" t="s">
        <v>82</v>
      </c>
      <c r="E157" s="8">
        <v>77.0</v>
      </c>
      <c r="F157" s="8">
        <v>81.0</v>
      </c>
      <c r="G157" s="8">
        <v>84.0</v>
      </c>
      <c r="H157" s="9">
        <f t="shared" si="1"/>
        <v>242</v>
      </c>
      <c r="I157" s="10">
        <f t="shared" si="2"/>
        <v>0.8066666667</v>
      </c>
      <c r="J157" s="9" t="str">
        <f t="shared" si="3"/>
        <v>PASS</v>
      </c>
      <c r="K157" s="9"/>
      <c r="L157" s="9">
        <f t="shared" si="12"/>
        <v>152</v>
      </c>
    </row>
    <row r="158">
      <c r="A158" s="8">
        <v>179.0</v>
      </c>
      <c r="B158" s="2" t="s">
        <v>376</v>
      </c>
      <c r="C158" s="2" t="s">
        <v>377</v>
      </c>
      <c r="D158" s="2" t="s">
        <v>79</v>
      </c>
      <c r="E158" s="8">
        <v>78.0</v>
      </c>
      <c r="F158" s="8">
        <v>83.0</v>
      </c>
      <c r="G158" s="8">
        <v>81.0</v>
      </c>
      <c r="H158" s="9">
        <f t="shared" si="1"/>
        <v>242</v>
      </c>
      <c r="I158" s="10">
        <f t="shared" si="2"/>
        <v>0.8066666667</v>
      </c>
      <c r="J158" s="9" t="str">
        <f t="shared" si="3"/>
        <v>PASS</v>
      </c>
      <c r="K158" s="9"/>
      <c r="L158" s="9">
        <f t="shared" si="12"/>
        <v>152</v>
      </c>
    </row>
    <row r="159">
      <c r="A159" s="8">
        <v>183.0</v>
      </c>
      <c r="B159" s="2" t="s">
        <v>378</v>
      </c>
      <c r="C159" s="2" t="s">
        <v>379</v>
      </c>
      <c r="D159" s="2" t="s">
        <v>88</v>
      </c>
      <c r="E159" s="8">
        <v>80.0</v>
      </c>
      <c r="F159" s="8">
        <v>78.0</v>
      </c>
      <c r="G159" s="8">
        <v>84.0</v>
      </c>
      <c r="H159" s="9">
        <f t="shared" si="1"/>
        <v>242</v>
      </c>
      <c r="I159" s="10">
        <f t="shared" si="2"/>
        <v>0.8066666667</v>
      </c>
      <c r="J159" s="9" t="str">
        <f t="shared" si="3"/>
        <v>PASS</v>
      </c>
      <c r="K159" s="9"/>
      <c r="L159" s="9">
        <f t="shared" si="12"/>
        <v>152</v>
      </c>
    </row>
    <row r="160">
      <c r="A160" s="8">
        <v>51.0</v>
      </c>
      <c r="B160" s="2" t="s">
        <v>380</v>
      </c>
      <c r="C160" s="2" t="s">
        <v>381</v>
      </c>
      <c r="D160" s="2" t="s">
        <v>79</v>
      </c>
      <c r="E160" s="8">
        <v>80.0</v>
      </c>
      <c r="F160" s="8">
        <v>78.0</v>
      </c>
      <c r="G160" s="8">
        <v>83.0</v>
      </c>
      <c r="H160" s="9">
        <f t="shared" si="1"/>
        <v>241</v>
      </c>
      <c r="I160" s="10">
        <f t="shared" si="2"/>
        <v>0.8033333333</v>
      </c>
      <c r="J160" s="9" t="str">
        <f t="shared" si="3"/>
        <v>PASS</v>
      </c>
      <c r="K160" s="9"/>
      <c r="L160" s="9">
        <f t="shared" si="12"/>
        <v>157</v>
      </c>
    </row>
    <row r="161">
      <c r="A161" s="8">
        <v>81.0</v>
      </c>
      <c r="B161" s="2" t="s">
        <v>382</v>
      </c>
      <c r="C161" s="2" t="s">
        <v>383</v>
      </c>
      <c r="D161" s="2" t="s">
        <v>79</v>
      </c>
      <c r="E161" s="8">
        <v>80.0</v>
      </c>
      <c r="F161" s="8">
        <v>83.0</v>
      </c>
      <c r="G161" s="8">
        <v>78.0</v>
      </c>
      <c r="H161" s="9">
        <f t="shared" si="1"/>
        <v>241</v>
      </c>
      <c r="I161" s="10">
        <f t="shared" si="2"/>
        <v>0.8033333333</v>
      </c>
      <c r="J161" s="9" t="str">
        <f t="shared" si="3"/>
        <v>PASS</v>
      </c>
      <c r="K161" s="9"/>
      <c r="L161" s="9">
        <f t="shared" si="12"/>
        <v>157</v>
      </c>
    </row>
    <row r="162">
      <c r="A162" s="8">
        <v>119.0</v>
      </c>
      <c r="B162" s="2" t="s">
        <v>384</v>
      </c>
      <c r="C162" s="2" t="s">
        <v>385</v>
      </c>
      <c r="D162" s="2" t="s">
        <v>79</v>
      </c>
      <c r="E162" s="8">
        <v>80.0</v>
      </c>
      <c r="F162" s="8">
        <v>83.0</v>
      </c>
      <c r="G162" s="8">
        <v>78.0</v>
      </c>
      <c r="H162" s="9">
        <f t="shared" si="1"/>
        <v>241</v>
      </c>
      <c r="I162" s="10">
        <f t="shared" si="2"/>
        <v>0.8033333333</v>
      </c>
      <c r="J162" s="9" t="str">
        <f t="shared" si="3"/>
        <v>PASS</v>
      </c>
      <c r="K162" s="9"/>
      <c r="L162" s="9">
        <f t="shared" si="12"/>
        <v>157</v>
      </c>
    </row>
    <row r="163">
      <c r="A163" s="8">
        <v>129.0</v>
      </c>
      <c r="B163" s="2" t="s">
        <v>386</v>
      </c>
      <c r="C163" s="2" t="s">
        <v>387</v>
      </c>
      <c r="D163" s="2" t="s">
        <v>79</v>
      </c>
      <c r="E163" s="8">
        <v>81.0</v>
      </c>
      <c r="F163" s="8">
        <v>77.0</v>
      </c>
      <c r="G163" s="8">
        <v>83.0</v>
      </c>
      <c r="H163" s="9">
        <f t="shared" si="1"/>
        <v>241</v>
      </c>
      <c r="I163" s="10">
        <f t="shared" si="2"/>
        <v>0.8033333333</v>
      </c>
      <c r="J163" s="9" t="str">
        <f t="shared" si="3"/>
        <v>PASS</v>
      </c>
      <c r="K163" s="9"/>
      <c r="L163" s="9">
        <f t="shared" si="12"/>
        <v>157</v>
      </c>
    </row>
    <row r="164">
      <c r="A164" s="8">
        <v>11.0</v>
      </c>
      <c r="B164" s="2" t="s">
        <v>388</v>
      </c>
      <c r="C164" s="2" t="s">
        <v>389</v>
      </c>
      <c r="D164" s="2" t="s">
        <v>79</v>
      </c>
      <c r="E164" s="8">
        <v>83.0</v>
      </c>
      <c r="F164" s="8">
        <v>77.0</v>
      </c>
      <c r="G164" s="8">
        <v>80.0</v>
      </c>
      <c r="H164" s="9">
        <f t="shared" si="1"/>
        <v>240</v>
      </c>
      <c r="I164" s="10">
        <f t="shared" si="2"/>
        <v>0.8</v>
      </c>
      <c r="J164" s="9" t="str">
        <f t="shared" si="3"/>
        <v>PASS</v>
      </c>
      <c r="K164" s="9"/>
      <c r="L164" s="9">
        <f t="shared" si="12"/>
        <v>161</v>
      </c>
    </row>
    <row r="165">
      <c r="A165" s="8">
        <v>27.0</v>
      </c>
      <c r="B165" s="2" t="s">
        <v>390</v>
      </c>
      <c r="C165" s="2" t="s">
        <v>391</v>
      </c>
      <c r="D165" s="2" t="s">
        <v>392</v>
      </c>
      <c r="E165" s="8">
        <v>77.0</v>
      </c>
      <c r="F165" s="8">
        <v>83.0</v>
      </c>
      <c r="G165" s="8">
        <v>80.0</v>
      </c>
      <c r="H165" s="9">
        <f t="shared" si="1"/>
        <v>240</v>
      </c>
      <c r="I165" s="10">
        <f t="shared" si="2"/>
        <v>0.8</v>
      </c>
      <c r="J165" s="9" t="str">
        <f t="shared" si="3"/>
        <v>PASS</v>
      </c>
      <c r="K165" s="9"/>
      <c r="L165" s="9">
        <f t="shared" si="12"/>
        <v>161</v>
      </c>
    </row>
    <row r="166">
      <c r="A166" s="8">
        <v>41.0</v>
      </c>
      <c r="B166" s="2" t="s">
        <v>393</v>
      </c>
      <c r="C166" s="2" t="s">
        <v>394</v>
      </c>
      <c r="D166" s="2" t="s">
        <v>106</v>
      </c>
      <c r="E166" s="8">
        <v>76.0</v>
      </c>
      <c r="F166" s="8">
        <v>79.0</v>
      </c>
      <c r="G166" s="8">
        <v>84.0</v>
      </c>
      <c r="H166" s="9">
        <f t="shared" si="1"/>
        <v>239</v>
      </c>
      <c r="I166" s="10">
        <f t="shared" si="2"/>
        <v>0.7966666667</v>
      </c>
      <c r="J166" s="9" t="str">
        <f t="shared" si="3"/>
        <v>PASS</v>
      </c>
      <c r="K166" s="9"/>
      <c r="L166" s="9">
        <f t="shared" si="12"/>
        <v>163</v>
      </c>
    </row>
    <row r="167">
      <c r="A167" s="8">
        <v>139.0</v>
      </c>
      <c r="B167" s="2" t="s">
        <v>395</v>
      </c>
      <c r="C167" s="2" t="s">
        <v>396</v>
      </c>
      <c r="D167" s="2" t="s">
        <v>79</v>
      </c>
      <c r="E167" s="8">
        <v>76.0</v>
      </c>
      <c r="F167" s="8">
        <v>80.0</v>
      </c>
      <c r="G167" s="8">
        <v>82.0</v>
      </c>
      <c r="H167" s="9">
        <f t="shared" si="1"/>
        <v>238</v>
      </c>
      <c r="I167" s="10">
        <f t="shared" si="2"/>
        <v>0.7933333333</v>
      </c>
      <c r="J167" s="9" t="str">
        <f t="shared" si="3"/>
        <v>PASS</v>
      </c>
      <c r="K167" s="9"/>
      <c r="L167" s="9">
        <f t="shared" si="12"/>
        <v>164</v>
      </c>
    </row>
    <row r="168">
      <c r="A168" s="8">
        <v>3.0</v>
      </c>
      <c r="B168" s="2" t="s">
        <v>397</v>
      </c>
      <c r="C168" s="2" t="s">
        <v>398</v>
      </c>
      <c r="D168" s="2" t="s">
        <v>82</v>
      </c>
      <c r="E168" s="8">
        <v>76.0</v>
      </c>
      <c r="F168" s="8">
        <v>81.0</v>
      </c>
      <c r="G168" s="8">
        <v>79.0</v>
      </c>
      <c r="H168" s="9">
        <f t="shared" si="1"/>
        <v>236</v>
      </c>
      <c r="I168" s="10">
        <f t="shared" si="2"/>
        <v>0.7866666667</v>
      </c>
      <c r="J168" s="9" t="str">
        <f t="shared" si="3"/>
        <v>PASS</v>
      </c>
      <c r="K168" s="9"/>
      <c r="L168" s="9">
        <f t="shared" si="12"/>
        <v>165</v>
      </c>
    </row>
    <row r="169">
      <c r="A169" s="8">
        <v>65.0</v>
      </c>
      <c r="B169" s="2" t="s">
        <v>399</v>
      </c>
      <c r="C169" s="2" t="s">
        <v>400</v>
      </c>
      <c r="D169" s="2" t="s">
        <v>54</v>
      </c>
      <c r="E169" s="8">
        <v>76.0</v>
      </c>
      <c r="F169" s="8">
        <v>81.0</v>
      </c>
      <c r="G169" s="8">
        <v>79.0</v>
      </c>
      <c r="H169" s="9">
        <f t="shared" si="1"/>
        <v>236</v>
      </c>
      <c r="I169" s="10">
        <f t="shared" si="2"/>
        <v>0.7866666667</v>
      </c>
      <c r="J169" s="9" t="str">
        <f t="shared" si="3"/>
        <v>PASS</v>
      </c>
      <c r="K169" s="9"/>
      <c r="L169" s="9">
        <f t="shared" si="12"/>
        <v>165</v>
      </c>
    </row>
    <row r="170">
      <c r="A170" s="8">
        <v>111.0</v>
      </c>
      <c r="B170" s="2" t="s">
        <v>401</v>
      </c>
      <c r="C170" s="2" t="s">
        <v>402</v>
      </c>
      <c r="D170" s="2" t="s">
        <v>118</v>
      </c>
      <c r="E170" s="8">
        <v>77.0</v>
      </c>
      <c r="F170" s="8">
        <v>80.0</v>
      </c>
      <c r="G170" s="8">
        <v>79.0</v>
      </c>
      <c r="H170" s="9">
        <f t="shared" si="1"/>
        <v>236</v>
      </c>
      <c r="I170" s="10">
        <f t="shared" si="2"/>
        <v>0.7866666667</v>
      </c>
      <c r="J170" s="9" t="str">
        <f t="shared" si="3"/>
        <v>PASS</v>
      </c>
      <c r="K170" s="9"/>
      <c r="L170" s="9">
        <f t="shared" si="12"/>
        <v>165</v>
      </c>
    </row>
    <row r="171">
      <c r="A171" s="8">
        <v>88.0</v>
      </c>
      <c r="B171" s="2" t="s">
        <v>403</v>
      </c>
      <c r="C171" s="2" t="s">
        <v>404</v>
      </c>
      <c r="D171" s="2" t="s">
        <v>103</v>
      </c>
      <c r="E171" s="8">
        <v>75.0</v>
      </c>
      <c r="F171" s="8">
        <v>78.0</v>
      </c>
      <c r="G171" s="8">
        <v>82.0</v>
      </c>
      <c r="H171" s="9">
        <f t="shared" si="1"/>
        <v>235</v>
      </c>
      <c r="I171" s="10">
        <f t="shared" si="2"/>
        <v>0.7833333333</v>
      </c>
      <c r="J171" s="9" t="str">
        <f t="shared" si="3"/>
        <v>PASS</v>
      </c>
      <c r="K171" s="9"/>
      <c r="L171" s="9">
        <f t="shared" si="12"/>
        <v>168</v>
      </c>
    </row>
    <row r="172">
      <c r="A172" s="8">
        <v>13.0</v>
      </c>
      <c r="B172" s="2" t="s">
        <v>405</v>
      </c>
      <c r="C172" s="2" t="s">
        <v>406</v>
      </c>
      <c r="D172" s="2" t="s">
        <v>54</v>
      </c>
      <c r="E172" s="8">
        <v>74.0</v>
      </c>
      <c r="F172" s="8">
        <v>82.0</v>
      </c>
      <c r="G172" s="8">
        <v>78.0</v>
      </c>
      <c r="H172" s="9">
        <f t="shared" si="1"/>
        <v>234</v>
      </c>
      <c r="I172" s="10">
        <f t="shared" si="2"/>
        <v>0.78</v>
      </c>
      <c r="J172" s="9" t="str">
        <f t="shared" si="3"/>
        <v>PASS</v>
      </c>
      <c r="K172" s="9"/>
      <c r="L172" s="9">
        <f t="shared" si="12"/>
        <v>169</v>
      </c>
    </row>
    <row r="173">
      <c r="A173" s="8">
        <v>15.0</v>
      </c>
      <c r="B173" s="2" t="s">
        <v>407</v>
      </c>
      <c r="C173" s="2" t="s">
        <v>408</v>
      </c>
      <c r="D173" s="2" t="s">
        <v>82</v>
      </c>
      <c r="E173" s="8">
        <v>80.0</v>
      </c>
      <c r="F173" s="8">
        <v>73.0</v>
      </c>
      <c r="G173" s="8">
        <v>81.0</v>
      </c>
      <c r="H173" s="9">
        <f t="shared" si="1"/>
        <v>234</v>
      </c>
      <c r="I173" s="10">
        <f t="shared" si="2"/>
        <v>0.78</v>
      </c>
      <c r="J173" s="9" t="str">
        <f t="shared" si="3"/>
        <v>PASS</v>
      </c>
      <c r="K173" s="9"/>
      <c r="L173" s="9">
        <f t="shared" si="12"/>
        <v>169</v>
      </c>
    </row>
    <row r="174">
      <c r="A174" s="8">
        <v>47.0</v>
      </c>
      <c r="B174" s="2" t="s">
        <v>409</v>
      </c>
      <c r="C174" s="2" t="s">
        <v>410</v>
      </c>
      <c r="D174" s="2" t="s">
        <v>94</v>
      </c>
      <c r="E174" s="8">
        <v>78.0</v>
      </c>
      <c r="F174" s="8">
        <v>76.0</v>
      </c>
      <c r="G174" s="8">
        <v>80.0</v>
      </c>
      <c r="H174" s="9">
        <f t="shared" si="1"/>
        <v>234</v>
      </c>
      <c r="I174" s="10">
        <f t="shared" si="2"/>
        <v>0.78</v>
      </c>
      <c r="J174" s="9" t="str">
        <f t="shared" si="3"/>
        <v>PASS</v>
      </c>
      <c r="K174" s="9"/>
      <c r="L174" s="9">
        <f t="shared" si="12"/>
        <v>169</v>
      </c>
    </row>
    <row r="175">
      <c r="A175" s="8">
        <v>23.0</v>
      </c>
      <c r="B175" s="2" t="s">
        <v>411</v>
      </c>
      <c r="C175" s="2" t="s">
        <v>412</v>
      </c>
      <c r="D175" s="2" t="s">
        <v>79</v>
      </c>
      <c r="E175" s="8">
        <v>75.0</v>
      </c>
      <c r="F175" s="8">
        <v>80.0</v>
      </c>
      <c r="G175" s="8">
        <v>77.0</v>
      </c>
      <c r="H175" s="9">
        <f t="shared" si="1"/>
        <v>232</v>
      </c>
      <c r="I175" s="10">
        <f t="shared" si="2"/>
        <v>0.7733333333</v>
      </c>
      <c r="J175" s="9" t="str">
        <f t="shared" si="3"/>
        <v>PASS</v>
      </c>
      <c r="K175" s="9"/>
      <c r="L175" s="9">
        <f t="shared" si="12"/>
        <v>172</v>
      </c>
    </row>
    <row r="176">
      <c r="A176" s="8">
        <v>53.0</v>
      </c>
      <c r="B176" s="2" t="s">
        <v>413</v>
      </c>
      <c r="C176" s="2" t="s">
        <v>414</v>
      </c>
      <c r="D176" s="2" t="s">
        <v>54</v>
      </c>
      <c r="E176" s="8">
        <v>75.0</v>
      </c>
      <c r="F176" s="8">
        <v>80.0</v>
      </c>
      <c r="G176" s="8">
        <v>77.0</v>
      </c>
      <c r="H176" s="9">
        <f t="shared" si="1"/>
        <v>232</v>
      </c>
      <c r="I176" s="10">
        <f t="shared" si="2"/>
        <v>0.7733333333</v>
      </c>
      <c r="J176" s="9" t="str">
        <f t="shared" si="3"/>
        <v>PASS</v>
      </c>
      <c r="K176" s="9"/>
      <c r="L176" s="9">
        <f t="shared" si="12"/>
        <v>172</v>
      </c>
    </row>
    <row r="177">
      <c r="A177" s="8">
        <v>188.0</v>
      </c>
      <c r="B177" s="2" t="s">
        <v>415</v>
      </c>
      <c r="C177" s="2" t="s">
        <v>416</v>
      </c>
      <c r="D177" s="2" t="s">
        <v>58</v>
      </c>
      <c r="E177" s="8">
        <v>96.0</v>
      </c>
      <c r="F177" s="8">
        <v>92.0</v>
      </c>
      <c r="G177" s="55">
        <v>44.0</v>
      </c>
      <c r="H177" s="9">
        <f t="shared" si="1"/>
        <v>232</v>
      </c>
      <c r="I177" s="10">
        <f t="shared" si="2"/>
        <v>0.7733333333</v>
      </c>
      <c r="J177" s="9" t="str">
        <f t="shared" si="3"/>
        <v>PASS</v>
      </c>
      <c r="K177" s="9"/>
      <c r="L177" s="9">
        <f t="shared" si="12"/>
        <v>172</v>
      </c>
    </row>
    <row r="178">
      <c r="A178" s="8">
        <v>4.0</v>
      </c>
      <c r="B178" s="2" t="s">
        <v>417</v>
      </c>
      <c r="C178" s="2" t="s">
        <v>418</v>
      </c>
      <c r="D178" s="2" t="s">
        <v>85</v>
      </c>
      <c r="E178" s="8">
        <v>89.0</v>
      </c>
      <c r="F178" s="8">
        <v>94.0</v>
      </c>
      <c r="G178" s="55">
        <v>7.0</v>
      </c>
      <c r="H178" s="9">
        <f t="shared" si="1"/>
        <v>190</v>
      </c>
      <c r="I178" s="10" t="str">
        <f t="shared" si="2"/>
        <v>-</v>
      </c>
      <c r="J178" s="9" t="str">
        <f t="shared" si="3"/>
        <v>FAIL</v>
      </c>
      <c r="K178" s="9"/>
      <c r="L178" s="9" t="str">
        <f t="shared" si="12"/>
        <v>-</v>
      </c>
    </row>
    <row r="179">
      <c r="A179" s="8">
        <v>7.0</v>
      </c>
      <c r="B179" s="2" t="s">
        <v>419</v>
      </c>
      <c r="C179" s="2" t="s">
        <v>420</v>
      </c>
      <c r="D179" s="2" t="s">
        <v>88</v>
      </c>
      <c r="E179" s="8">
        <v>72.0</v>
      </c>
      <c r="F179" s="8">
        <v>79.0</v>
      </c>
      <c r="G179" s="55">
        <v>34.0</v>
      </c>
      <c r="H179" s="9">
        <f t="shared" si="1"/>
        <v>185</v>
      </c>
      <c r="I179" s="10" t="str">
        <f t="shared" si="2"/>
        <v>-</v>
      </c>
      <c r="J179" s="9" t="str">
        <f t="shared" si="3"/>
        <v>FAIL</v>
      </c>
      <c r="K179" s="9"/>
      <c r="L179" s="9" t="str">
        <f t="shared" si="12"/>
        <v>-</v>
      </c>
    </row>
    <row r="180">
      <c r="A180" s="8">
        <v>10.0</v>
      </c>
      <c r="B180" s="2" t="s">
        <v>421</v>
      </c>
      <c r="C180" s="2" t="s">
        <v>422</v>
      </c>
      <c r="D180" s="2" t="s">
        <v>54</v>
      </c>
      <c r="E180" s="8">
        <v>91.0</v>
      </c>
      <c r="F180" s="8">
        <v>89.0</v>
      </c>
      <c r="G180" s="55">
        <v>34.0</v>
      </c>
      <c r="H180" s="9">
        <f t="shared" si="1"/>
        <v>214</v>
      </c>
      <c r="I180" s="10" t="str">
        <f t="shared" si="2"/>
        <v>-</v>
      </c>
      <c r="J180" s="9" t="str">
        <f t="shared" si="3"/>
        <v>FAIL</v>
      </c>
      <c r="K180" s="9"/>
      <c r="L180" s="9" t="str">
        <f t="shared" si="12"/>
        <v>-</v>
      </c>
    </row>
    <row r="181">
      <c r="A181" s="8">
        <v>18.0</v>
      </c>
      <c r="B181" s="2" t="s">
        <v>423</v>
      </c>
      <c r="C181" s="2" t="s">
        <v>424</v>
      </c>
      <c r="D181" s="2" t="s">
        <v>112</v>
      </c>
      <c r="E181" s="8">
        <v>78.0</v>
      </c>
      <c r="F181" s="55">
        <v>34.0</v>
      </c>
      <c r="G181" s="8">
        <v>76.0</v>
      </c>
      <c r="H181" s="9">
        <f t="shared" si="1"/>
        <v>188</v>
      </c>
      <c r="I181" s="10" t="str">
        <f t="shared" si="2"/>
        <v>-</v>
      </c>
      <c r="J181" s="9" t="str">
        <f t="shared" si="3"/>
        <v>FAIL</v>
      </c>
      <c r="K181" s="9"/>
      <c r="L181" s="9" t="str">
        <f t="shared" si="12"/>
        <v>-</v>
      </c>
    </row>
    <row r="182">
      <c r="A182" s="8">
        <v>22.0</v>
      </c>
      <c r="B182" s="2" t="s">
        <v>425</v>
      </c>
      <c r="C182" s="2" t="s">
        <v>426</v>
      </c>
      <c r="D182" s="2" t="s">
        <v>28</v>
      </c>
      <c r="E182" s="8">
        <v>88.0</v>
      </c>
      <c r="F182" s="55">
        <v>4.0</v>
      </c>
      <c r="G182" s="8">
        <v>89.0</v>
      </c>
      <c r="H182" s="9">
        <f t="shared" si="1"/>
        <v>181</v>
      </c>
      <c r="I182" s="10" t="str">
        <f t="shared" si="2"/>
        <v>-</v>
      </c>
      <c r="J182" s="9" t="str">
        <f t="shared" si="3"/>
        <v>FAIL</v>
      </c>
      <c r="K182" s="9"/>
      <c r="L182" s="9" t="str">
        <f t="shared" si="12"/>
        <v>-</v>
      </c>
    </row>
    <row r="183">
      <c r="A183" s="8">
        <v>31.0</v>
      </c>
      <c r="B183" s="2" t="s">
        <v>427</v>
      </c>
      <c r="C183" s="2" t="s">
        <v>428</v>
      </c>
      <c r="D183" s="2" t="s">
        <v>58</v>
      </c>
      <c r="E183" s="8">
        <v>93.0</v>
      </c>
      <c r="F183" s="55">
        <v>24.0</v>
      </c>
      <c r="G183" s="8">
        <v>90.0</v>
      </c>
      <c r="H183" s="9">
        <f t="shared" si="1"/>
        <v>207</v>
      </c>
      <c r="I183" s="10" t="str">
        <f t="shared" si="2"/>
        <v>-</v>
      </c>
      <c r="J183" s="9" t="str">
        <f t="shared" si="3"/>
        <v>FAIL</v>
      </c>
      <c r="K183" s="9"/>
      <c r="L183" s="9" t="str">
        <f t="shared" si="12"/>
        <v>-</v>
      </c>
    </row>
    <row r="184">
      <c r="A184" s="8">
        <v>33.0</v>
      </c>
      <c r="B184" s="2" t="s">
        <v>429</v>
      </c>
      <c r="C184" s="2" t="s">
        <v>430</v>
      </c>
      <c r="D184" s="2" t="s">
        <v>118</v>
      </c>
      <c r="E184" s="8">
        <v>73.0</v>
      </c>
      <c r="F184" s="55">
        <v>5.0</v>
      </c>
      <c r="G184" s="8">
        <v>81.0</v>
      </c>
      <c r="H184" s="9">
        <f t="shared" si="1"/>
        <v>159</v>
      </c>
      <c r="I184" s="10" t="str">
        <f t="shared" si="2"/>
        <v>-</v>
      </c>
      <c r="J184" s="9" t="str">
        <f t="shared" si="3"/>
        <v>FAIL</v>
      </c>
      <c r="K184" s="9"/>
      <c r="L184" s="9" t="str">
        <f t="shared" si="12"/>
        <v>-</v>
      </c>
    </row>
    <row r="185">
      <c r="A185" s="8">
        <v>42.0</v>
      </c>
      <c r="B185" s="2" t="s">
        <v>431</v>
      </c>
      <c r="C185" s="2" t="s">
        <v>432</v>
      </c>
      <c r="D185" s="2" t="s">
        <v>28</v>
      </c>
      <c r="E185" s="8">
        <v>93.0</v>
      </c>
      <c r="F185" s="8">
        <v>90.0</v>
      </c>
      <c r="G185" s="55">
        <v>6.0</v>
      </c>
      <c r="H185" s="9">
        <f t="shared" si="1"/>
        <v>189</v>
      </c>
      <c r="I185" s="10" t="str">
        <f t="shared" si="2"/>
        <v>-</v>
      </c>
      <c r="J185" s="9" t="str">
        <f t="shared" si="3"/>
        <v>FAIL</v>
      </c>
      <c r="K185" s="9"/>
      <c r="L185" s="9" t="str">
        <f t="shared" si="12"/>
        <v>-</v>
      </c>
    </row>
    <row r="186">
      <c r="A186" s="8">
        <v>45.0</v>
      </c>
      <c r="B186" s="2" t="s">
        <v>433</v>
      </c>
      <c r="C186" s="2" t="s">
        <v>255</v>
      </c>
      <c r="D186" s="2" t="s">
        <v>79</v>
      </c>
      <c r="E186" s="8">
        <v>84.0</v>
      </c>
      <c r="F186" s="8">
        <v>81.0</v>
      </c>
      <c r="G186" s="55">
        <v>6.0</v>
      </c>
      <c r="H186" s="9">
        <f t="shared" si="1"/>
        <v>171</v>
      </c>
      <c r="I186" s="10" t="str">
        <f t="shared" si="2"/>
        <v>-</v>
      </c>
      <c r="J186" s="9" t="str">
        <f t="shared" si="3"/>
        <v>FAIL</v>
      </c>
      <c r="K186" s="9"/>
      <c r="L186" s="9" t="str">
        <f t="shared" si="12"/>
        <v>-</v>
      </c>
    </row>
    <row r="187">
      <c r="A187" s="8">
        <v>46.0</v>
      </c>
      <c r="B187" s="2" t="s">
        <v>434</v>
      </c>
      <c r="C187" s="2" t="s">
        <v>435</v>
      </c>
      <c r="D187" s="2" t="s">
        <v>54</v>
      </c>
      <c r="E187" s="8">
        <v>96.0</v>
      </c>
      <c r="F187" s="55">
        <v>7.0</v>
      </c>
      <c r="G187" s="8">
        <v>95.0</v>
      </c>
      <c r="H187" s="9">
        <f t="shared" si="1"/>
        <v>198</v>
      </c>
      <c r="I187" s="10" t="str">
        <f t="shared" si="2"/>
        <v>-</v>
      </c>
      <c r="J187" s="9" t="str">
        <f t="shared" si="3"/>
        <v>FAIL</v>
      </c>
      <c r="K187" s="9"/>
      <c r="L187" s="9" t="str">
        <f t="shared" si="12"/>
        <v>-</v>
      </c>
    </row>
    <row r="188">
      <c r="A188" s="8">
        <v>58.0</v>
      </c>
      <c r="B188" s="2" t="s">
        <v>436</v>
      </c>
      <c r="C188" s="2" t="s">
        <v>437</v>
      </c>
      <c r="D188" s="2" t="s">
        <v>100</v>
      </c>
      <c r="E188" s="8">
        <v>90.0</v>
      </c>
      <c r="F188" s="8">
        <v>88.0</v>
      </c>
      <c r="G188" s="55">
        <v>7.0</v>
      </c>
      <c r="H188" s="9">
        <f t="shared" si="1"/>
        <v>185</v>
      </c>
      <c r="I188" s="10" t="str">
        <f t="shared" si="2"/>
        <v>-</v>
      </c>
      <c r="J188" s="9" t="str">
        <f t="shared" si="3"/>
        <v>FAIL</v>
      </c>
      <c r="K188" s="9"/>
      <c r="L188" s="9" t="str">
        <f t="shared" si="12"/>
        <v>-</v>
      </c>
    </row>
    <row r="189">
      <c r="A189" s="8">
        <v>72.0</v>
      </c>
      <c r="B189" s="2" t="s">
        <v>438</v>
      </c>
      <c r="C189" s="2" t="s">
        <v>439</v>
      </c>
      <c r="D189" s="2" t="s">
        <v>76</v>
      </c>
      <c r="E189" s="8">
        <v>93.0</v>
      </c>
      <c r="F189" s="8">
        <v>91.0</v>
      </c>
      <c r="G189" s="55">
        <v>8.0</v>
      </c>
      <c r="H189" s="9">
        <f t="shared" si="1"/>
        <v>192</v>
      </c>
      <c r="I189" s="10" t="str">
        <f t="shared" si="2"/>
        <v>-</v>
      </c>
      <c r="J189" s="9" t="str">
        <f t="shared" si="3"/>
        <v>FAIL</v>
      </c>
      <c r="K189" s="9"/>
      <c r="L189" s="9" t="str">
        <f t="shared" si="12"/>
        <v>-</v>
      </c>
    </row>
    <row r="190">
      <c r="A190" s="8">
        <v>82.0</v>
      </c>
      <c r="B190" s="2" t="s">
        <v>440</v>
      </c>
      <c r="C190" s="2" t="s">
        <v>441</v>
      </c>
      <c r="D190" s="2" t="s">
        <v>58</v>
      </c>
      <c r="E190" s="8">
        <v>94.0</v>
      </c>
      <c r="F190" s="8">
        <v>91.0</v>
      </c>
      <c r="G190" s="55">
        <v>8.0</v>
      </c>
      <c r="H190" s="9">
        <f t="shared" si="1"/>
        <v>193</v>
      </c>
      <c r="I190" s="10" t="str">
        <f t="shared" si="2"/>
        <v>-</v>
      </c>
      <c r="J190" s="9" t="str">
        <f t="shared" si="3"/>
        <v>FAIL</v>
      </c>
      <c r="K190" s="9"/>
      <c r="L190" s="9" t="str">
        <f t="shared" si="12"/>
        <v>-</v>
      </c>
    </row>
    <row r="191">
      <c r="A191" s="8">
        <v>83.0</v>
      </c>
      <c r="B191" s="2" t="s">
        <v>442</v>
      </c>
      <c r="C191" s="2" t="s">
        <v>443</v>
      </c>
      <c r="D191" s="2" t="s">
        <v>47</v>
      </c>
      <c r="E191" s="8">
        <v>89.0</v>
      </c>
      <c r="F191" s="8">
        <v>95.0</v>
      </c>
      <c r="G191" s="55">
        <v>9.0</v>
      </c>
      <c r="H191" s="9">
        <f t="shared" si="1"/>
        <v>193</v>
      </c>
      <c r="I191" s="10" t="str">
        <f t="shared" si="2"/>
        <v>-</v>
      </c>
      <c r="J191" s="9" t="str">
        <f t="shared" si="3"/>
        <v>FAIL</v>
      </c>
      <c r="K191" s="9"/>
      <c r="L191" s="9" t="str">
        <f t="shared" si="12"/>
        <v>-</v>
      </c>
    </row>
    <row r="192">
      <c r="A192" s="8">
        <v>89.0</v>
      </c>
      <c r="B192" s="2" t="s">
        <v>444</v>
      </c>
      <c r="C192" s="2" t="s">
        <v>445</v>
      </c>
      <c r="D192" s="2" t="s">
        <v>28</v>
      </c>
      <c r="E192" s="8">
        <v>96.0</v>
      </c>
      <c r="F192" s="8">
        <v>94.0</v>
      </c>
      <c r="G192" s="55">
        <v>7.0</v>
      </c>
      <c r="H192" s="9">
        <f t="shared" si="1"/>
        <v>197</v>
      </c>
      <c r="I192" s="10" t="str">
        <f t="shared" si="2"/>
        <v>-</v>
      </c>
      <c r="J192" s="9" t="str">
        <f t="shared" si="3"/>
        <v>FAIL</v>
      </c>
      <c r="K192" s="9"/>
      <c r="L192" s="9" t="str">
        <f t="shared" si="12"/>
        <v>-</v>
      </c>
    </row>
    <row r="193">
      <c r="A193" s="8">
        <v>98.0</v>
      </c>
      <c r="B193" s="2" t="s">
        <v>446</v>
      </c>
      <c r="C193" s="2" t="s">
        <v>447</v>
      </c>
      <c r="D193" s="2" t="s">
        <v>82</v>
      </c>
      <c r="E193" s="8">
        <v>81.0</v>
      </c>
      <c r="F193" s="55">
        <v>33.0</v>
      </c>
      <c r="G193" s="8">
        <v>85.0</v>
      </c>
      <c r="H193" s="9">
        <f t="shared" si="1"/>
        <v>199</v>
      </c>
      <c r="I193" s="10" t="str">
        <f t="shared" si="2"/>
        <v>-</v>
      </c>
      <c r="J193" s="9" t="str">
        <f t="shared" si="3"/>
        <v>FAIL</v>
      </c>
      <c r="K193" s="9"/>
      <c r="L193" s="9" t="str">
        <f t="shared" si="12"/>
        <v>-</v>
      </c>
    </row>
    <row r="194">
      <c r="A194" s="8">
        <v>108.0</v>
      </c>
      <c r="B194" s="2" t="s">
        <v>448</v>
      </c>
      <c r="C194" s="2" t="s">
        <v>449</v>
      </c>
      <c r="D194" s="2" t="s">
        <v>76</v>
      </c>
      <c r="E194" s="8">
        <v>96.0</v>
      </c>
      <c r="F194" s="8">
        <v>93.0</v>
      </c>
      <c r="G194" s="55">
        <v>9.0</v>
      </c>
      <c r="H194" s="9">
        <f t="shared" si="1"/>
        <v>198</v>
      </c>
      <c r="I194" s="10" t="str">
        <f t="shared" si="2"/>
        <v>-</v>
      </c>
      <c r="J194" s="9" t="str">
        <f t="shared" si="3"/>
        <v>FAIL</v>
      </c>
      <c r="K194" s="9"/>
      <c r="L194" s="9" t="str">
        <f t="shared" si="12"/>
        <v>-</v>
      </c>
    </row>
    <row r="195">
      <c r="A195" s="8">
        <v>110.0</v>
      </c>
      <c r="B195" s="2" t="s">
        <v>450</v>
      </c>
      <c r="C195" s="2" t="s">
        <v>451</v>
      </c>
      <c r="D195" s="2" t="s">
        <v>79</v>
      </c>
      <c r="E195" s="8">
        <v>85.0</v>
      </c>
      <c r="F195" s="8">
        <v>91.0</v>
      </c>
      <c r="G195" s="55">
        <v>32.0</v>
      </c>
      <c r="H195" s="9">
        <f t="shared" si="1"/>
        <v>208</v>
      </c>
      <c r="I195" s="10" t="str">
        <f t="shared" si="2"/>
        <v>-</v>
      </c>
      <c r="J195" s="9" t="str">
        <f t="shared" si="3"/>
        <v>FAIL</v>
      </c>
      <c r="K195" s="9"/>
      <c r="L195" s="9" t="str">
        <f t="shared" si="12"/>
        <v>-</v>
      </c>
    </row>
    <row r="196">
      <c r="A196" s="8">
        <v>116.0</v>
      </c>
      <c r="B196" s="2" t="s">
        <v>452</v>
      </c>
      <c r="C196" s="2" t="s">
        <v>453</v>
      </c>
      <c r="D196" s="2" t="s">
        <v>79</v>
      </c>
      <c r="E196" s="8">
        <v>95.0</v>
      </c>
      <c r="F196" s="8">
        <v>94.0</v>
      </c>
      <c r="G196" s="55">
        <v>5.0</v>
      </c>
      <c r="H196" s="9">
        <f t="shared" si="1"/>
        <v>194</v>
      </c>
      <c r="I196" s="10" t="str">
        <f t="shared" si="2"/>
        <v>-</v>
      </c>
      <c r="J196" s="9" t="str">
        <f t="shared" si="3"/>
        <v>FAIL</v>
      </c>
      <c r="K196" s="9"/>
      <c r="L196" s="9" t="str">
        <f t="shared" si="12"/>
        <v>-</v>
      </c>
    </row>
    <row r="197">
      <c r="A197" s="8">
        <v>121.0</v>
      </c>
      <c r="B197" s="2" t="s">
        <v>454</v>
      </c>
      <c r="C197" s="2" t="s">
        <v>455</v>
      </c>
      <c r="D197" s="2" t="s">
        <v>79</v>
      </c>
      <c r="E197" s="8">
        <v>84.0</v>
      </c>
      <c r="F197" s="8">
        <v>79.0</v>
      </c>
      <c r="G197" s="55">
        <v>6.0</v>
      </c>
      <c r="H197" s="9">
        <f t="shared" si="1"/>
        <v>169</v>
      </c>
      <c r="I197" s="10" t="str">
        <f t="shared" si="2"/>
        <v>-</v>
      </c>
      <c r="J197" s="9" t="str">
        <f t="shared" si="3"/>
        <v>FAIL</v>
      </c>
      <c r="K197" s="9"/>
      <c r="L197" s="9" t="str">
        <f t="shared" si="12"/>
        <v>-</v>
      </c>
    </row>
    <row r="198">
      <c r="A198" s="8">
        <v>126.0</v>
      </c>
      <c r="B198" s="2" t="s">
        <v>456</v>
      </c>
      <c r="C198" s="2" t="s">
        <v>457</v>
      </c>
      <c r="D198" s="2" t="s">
        <v>85</v>
      </c>
      <c r="E198" s="8">
        <v>93.0</v>
      </c>
      <c r="F198" s="8">
        <v>95.0</v>
      </c>
      <c r="G198" s="55">
        <v>33.0</v>
      </c>
      <c r="H198" s="9">
        <f t="shared" si="1"/>
        <v>221</v>
      </c>
      <c r="I198" s="10" t="str">
        <f t="shared" si="2"/>
        <v>-</v>
      </c>
      <c r="J198" s="9" t="str">
        <f t="shared" si="3"/>
        <v>FAIL</v>
      </c>
      <c r="K198" s="9"/>
      <c r="L198" s="9" t="str">
        <f t="shared" si="12"/>
        <v>-</v>
      </c>
    </row>
    <row r="199">
      <c r="A199" s="8">
        <v>137.0</v>
      </c>
      <c r="B199" s="2" t="s">
        <v>458</v>
      </c>
      <c r="C199" s="2" t="s">
        <v>459</v>
      </c>
      <c r="D199" s="2" t="s">
        <v>39</v>
      </c>
      <c r="E199" s="8">
        <v>88.0</v>
      </c>
      <c r="F199" s="55">
        <v>33.0</v>
      </c>
      <c r="G199" s="8">
        <v>91.0</v>
      </c>
      <c r="H199" s="9">
        <f t="shared" si="1"/>
        <v>212</v>
      </c>
      <c r="I199" s="10" t="str">
        <f t="shared" si="2"/>
        <v>-</v>
      </c>
      <c r="J199" s="9" t="str">
        <f t="shared" si="3"/>
        <v>FAIL</v>
      </c>
      <c r="K199" s="9"/>
      <c r="L199" s="9" t="str">
        <f t="shared" si="12"/>
        <v>-</v>
      </c>
    </row>
    <row r="200">
      <c r="A200" s="8">
        <v>147.0</v>
      </c>
      <c r="B200" s="2" t="s">
        <v>460</v>
      </c>
      <c r="C200" s="2" t="s">
        <v>461</v>
      </c>
      <c r="D200" s="2" t="s">
        <v>79</v>
      </c>
      <c r="E200" s="8">
        <v>87.0</v>
      </c>
      <c r="F200" s="8">
        <v>83.0</v>
      </c>
      <c r="G200" s="55">
        <v>34.0</v>
      </c>
      <c r="H200" s="9">
        <f t="shared" si="1"/>
        <v>204</v>
      </c>
      <c r="I200" s="10" t="str">
        <f t="shared" si="2"/>
        <v>-</v>
      </c>
      <c r="J200" s="9" t="str">
        <f t="shared" si="3"/>
        <v>FAIL</v>
      </c>
      <c r="K200" s="9"/>
      <c r="L200" s="9" t="str">
        <f t="shared" si="12"/>
        <v>-</v>
      </c>
    </row>
    <row r="201">
      <c r="A201" s="8">
        <v>176.0</v>
      </c>
      <c r="B201" s="2" t="s">
        <v>462</v>
      </c>
      <c r="C201" s="2" t="s">
        <v>463</v>
      </c>
      <c r="D201" s="2" t="s">
        <v>39</v>
      </c>
      <c r="E201" s="8">
        <v>96.0</v>
      </c>
      <c r="F201" s="8">
        <v>91.0</v>
      </c>
      <c r="G201" s="55">
        <v>5.0</v>
      </c>
      <c r="H201" s="9">
        <f t="shared" si="1"/>
        <v>192</v>
      </c>
      <c r="I201" s="10" t="str">
        <f t="shared" si="2"/>
        <v>-</v>
      </c>
      <c r="J201" s="9" t="str">
        <f t="shared" si="3"/>
        <v>FAIL</v>
      </c>
      <c r="K201" s="9"/>
      <c r="L201" s="9" t="str">
        <f t="shared" si="12"/>
        <v>-</v>
      </c>
    </row>
    <row r="202">
      <c r="A202" s="8">
        <v>196.0</v>
      </c>
      <c r="B202" s="2" t="s">
        <v>464</v>
      </c>
      <c r="C202" s="2" t="s">
        <v>465</v>
      </c>
      <c r="D202" s="2" t="s">
        <v>88</v>
      </c>
      <c r="E202" s="8">
        <v>95.0</v>
      </c>
      <c r="F202" s="8">
        <v>93.0</v>
      </c>
      <c r="G202" s="55">
        <v>5.0</v>
      </c>
      <c r="H202" s="9">
        <f t="shared" si="1"/>
        <v>193</v>
      </c>
      <c r="I202" s="10" t="str">
        <f t="shared" si="2"/>
        <v>-</v>
      </c>
      <c r="J202" s="9" t="str">
        <f t="shared" si="3"/>
        <v>FAIL</v>
      </c>
      <c r="K202" s="9"/>
      <c r="L202" s="9" t="str">
        <f t="shared" si="12"/>
        <v>-</v>
      </c>
    </row>
  </sheetData>
  <mergeCells count="29">
    <mergeCell ref="A1:J1"/>
    <mergeCell ref="D2:G2"/>
    <mergeCell ref="Q2:R2"/>
    <mergeCell ref="Q3:R3"/>
    <mergeCell ref="N5:N6"/>
    <mergeCell ref="O5:O6"/>
    <mergeCell ref="Q6:Q7"/>
    <mergeCell ref="R6:R7"/>
    <mergeCell ref="S6:S7"/>
    <mergeCell ref="T6:T7"/>
    <mergeCell ref="U6:U7"/>
    <mergeCell ref="V6:V7"/>
    <mergeCell ref="W6:W7"/>
    <mergeCell ref="X6:X7"/>
    <mergeCell ref="Q8:Q9"/>
    <mergeCell ref="N11:N12"/>
    <mergeCell ref="O11:O12"/>
    <mergeCell ref="P11:P12"/>
    <mergeCell ref="Q11:Q12"/>
    <mergeCell ref="M37:N37"/>
    <mergeCell ref="N45:S46"/>
    <mergeCell ref="O67:Q67"/>
    <mergeCell ref="R8:R9"/>
    <mergeCell ref="S8:S9"/>
    <mergeCell ref="T8:T9"/>
    <mergeCell ref="U8:U9"/>
    <mergeCell ref="V8:V9"/>
    <mergeCell ref="W8:W9"/>
    <mergeCell ref="X8:X9"/>
  </mergeCells>
  <conditionalFormatting sqref="J4:K999">
    <cfRule type="cellIs" dxfId="0" priority="1" operator="equal">
      <formula>"PASS"</formula>
    </cfRule>
  </conditionalFormatting>
  <conditionalFormatting sqref="J4:K999">
    <cfRule type="cellIs" dxfId="1" priority="2" operator="equal">
      <formula>"FAIL"</formula>
    </cfRule>
  </conditionalFormatting>
  <conditionalFormatting sqref="W8:W9">
    <cfRule type="cellIs" dxfId="2" priority="3" operator="equal">
      <formula>"FAIL"</formula>
    </cfRule>
  </conditionalFormatting>
  <conditionalFormatting sqref="W8:W9">
    <cfRule type="cellIs" dxfId="3" priority="4" operator="equal">
      <formula>"PASS"</formula>
    </cfRule>
  </conditionalFormatting>
  <dataValidations>
    <dataValidation type="list" allowBlank="1" showErrorMessage="1" sqref="S3 O37">
      <formula1>Sheet2!$B$4:$B$202</formula1>
    </dataValidation>
  </dataValidations>
  <printOptions horizontalCentered="1"/>
  <pageMargins bottom="0.75" footer="0.0" header="0.0" left="0.7" right="0.7" top="0.75"/>
  <pageSetup fitToHeight="0" paperSize="3" cellComments="atEnd" orientation="portrait" pageOrder="overThenDown"/>
  <drawing r:id="rId1"/>
</worksheet>
</file>