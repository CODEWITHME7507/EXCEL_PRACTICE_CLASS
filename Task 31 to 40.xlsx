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 defaultThemeVersion="166925"/>
  <xr:revisionPtr revIDLastSave="0" documentId="8_{A62AAC06-CCCD-45E1-8EBF-C241B3C9A446}" xr6:coauthVersionLast="47" xr6:coauthVersionMax="47" xr10:uidLastSave="{00000000-0000-0000-0000-000000000000}"/>
  <bookViews>
    <workbookView xWindow="240" yWindow="105" windowWidth="14805" windowHeight="8010" firstSheet="8" activeTab="9" xr2:uid="{00000000-000D-0000-FFFF-FFFF00000000}"/>
  </bookViews>
  <sheets>
    <sheet name="Task31" sheetId="1" r:id="rId1"/>
    <sheet name="Task32" sheetId="2" r:id="rId2"/>
    <sheet name="Task33" sheetId="3" r:id="rId3"/>
    <sheet name="Task34" sheetId="4" r:id="rId4"/>
    <sheet name="Task36" sheetId="6" r:id="rId5"/>
    <sheet name="Task35" sheetId="5" r:id="rId6"/>
    <sheet name="Task37" sheetId="7" r:id="rId7"/>
    <sheet name="Task38" sheetId="8" r:id="rId8"/>
    <sheet name="Task39" sheetId="9" r:id="rId9"/>
    <sheet name="Task40" sheetId="10" r:id="rId10"/>
  </sheets>
  <calcPr calcId="191028"/>
  <pivotCaches>
    <pivotCache cacheId="1121" r:id="rId11"/>
    <pivotCache cacheId="1122" r:id="rId12"/>
    <pivotCache cacheId="1123" r:id="rId13"/>
    <pivotCache cacheId="1124" r:id="rId14"/>
    <pivotCache cacheId="1125" r:id="rId15"/>
    <pivotCache cacheId="1126" r:id="rId16"/>
    <pivotCache cacheId="1127" r:id="rId17"/>
    <pivotCache cacheId="1164" r:id="rId18"/>
    <pivotCache cacheId="1160" r:id="rId19"/>
    <pivotCache cacheId="117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3" i="10" l="1"/>
  <c r="N53" i="10" s="1"/>
  <c r="K53" i="10"/>
  <c r="L53" i="10" s="1"/>
  <c r="O53" i="10" s="1"/>
  <c r="D53" i="10"/>
  <c r="M52" i="10"/>
  <c r="N52" i="10" s="1"/>
  <c r="K52" i="10"/>
  <c r="L52" i="10" s="1"/>
  <c r="O52" i="10" s="1"/>
  <c r="D52" i="10"/>
  <c r="M51" i="10"/>
  <c r="N51" i="10" s="1"/>
  <c r="K51" i="10"/>
  <c r="L51" i="10" s="1"/>
  <c r="O51" i="10" s="1"/>
  <c r="D51" i="10"/>
  <c r="M50" i="10"/>
  <c r="N50" i="10" s="1"/>
  <c r="K50" i="10"/>
  <c r="L50" i="10" s="1"/>
  <c r="O50" i="10" s="1"/>
  <c r="D50" i="10"/>
  <c r="M49" i="10"/>
  <c r="N49" i="10" s="1"/>
  <c r="K49" i="10"/>
  <c r="L49" i="10" s="1"/>
  <c r="O49" i="10" s="1"/>
  <c r="D49" i="10"/>
  <c r="M48" i="10"/>
  <c r="N48" i="10" s="1"/>
  <c r="K48" i="10"/>
  <c r="L48" i="10" s="1"/>
  <c r="O48" i="10" s="1"/>
  <c r="D48" i="10"/>
  <c r="M47" i="10"/>
  <c r="N47" i="10" s="1"/>
  <c r="K47" i="10"/>
  <c r="L47" i="10" s="1"/>
  <c r="O47" i="10" s="1"/>
  <c r="D47" i="10"/>
  <c r="M46" i="10"/>
  <c r="N46" i="10" s="1"/>
  <c r="K46" i="10"/>
  <c r="L46" i="10" s="1"/>
  <c r="O46" i="10" s="1"/>
  <c r="D46" i="10"/>
  <c r="M45" i="10"/>
  <c r="N45" i="10" s="1"/>
  <c r="K45" i="10"/>
  <c r="L45" i="10" s="1"/>
  <c r="O45" i="10" s="1"/>
  <c r="D45" i="10"/>
  <c r="M44" i="10"/>
  <c r="N44" i="10" s="1"/>
  <c r="K44" i="10"/>
  <c r="L44" i="10" s="1"/>
  <c r="O44" i="10" s="1"/>
  <c r="D44" i="10"/>
  <c r="M43" i="10"/>
  <c r="N43" i="10" s="1"/>
  <c r="K43" i="10"/>
  <c r="L43" i="10" s="1"/>
  <c r="O43" i="10" s="1"/>
  <c r="D43" i="10"/>
  <c r="M42" i="10"/>
  <c r="N42" i="10" s="1"/>
  <c r="K42" i="10"/>
  <c r="L42" i="10" s="1"/>
  <c r="O42" i="10" s="1"/>
  <c r="D42" i="10"/>
  <c r="M41" i="10"/>
  <c r="N41" i="10" s="1"/>
  <c r="K41" i="10"/>
  <c r="L41" i="10" s="1"/>
  <c r="O41" i="10" s="1"/>
  <c r="D41" i="10"/>
  <c r="M40" i="10"/>
  <c r="N40" i="10" s="1"/>
  <c r="K40" i="10"/>
  <c r="L40" i="10" s="1"/>
  <c r="O40" i="10" s="1"/>
  <c r="D40" i="10"/>
  <c r="M39" i="10"/>
  <c r="N39" i="10" s="1"/>
  <c r="K39" i="10"/>
  <c r="L39" i="10" s="1"/>
  <c r="O39" i="10" s="1"/>
  <c r="D39" i="10"/>
  <c r="M38" i="10"/>
  <c r="N38" i="10" s="1"/>
  <c r="K38" i="10"/>
  <c r="L38" i="10" s="1"/>
  <c r="O38" i="10" s="1"/>
  <c r="D38" i="10"/>
  <c r="M37" i="10"/>
  <c r="N37" i="10" s="1"/>
  <c r="K37" i="10"/>
  <c r="L37" i="10" s="1"/>
  <c r="O37" i="10" s="1"/>
  <c r="D37" i="10"/>
  <c r="M36" i="10"/>
  <c r="N36" i="10" s="1"/>
  <c r="K36" i="10"/>
  <c r="L36" i="10" s="1"/>
  <c r="O36" i="10" s="1"/>
  <c r="D36" i="10"/>
  <c r="M35" i="10"/>
  <c r="N35" i="10" s="1"/>
  <c r="K35" i="10"/>
  <c r="L35" i="10" s="1"/>
  <c r="O35" i="10" s="1"/>
  <c r="D35" i="10"/>
  <c r="M34" i="10"/>
  <c r="N34" i="10" s="1"/>
  <c r="K34" i="10"/>
  <c r="L34" i="10" s="1"/>
  <c r="O34" i="10" s="1"/>
  <c r="D34" i="10"/>
  <c r="M33" i="10"/>
  <c r="N33" i="10" s="1"/>
  <c r="K33" i="10"/>
  <c r="L33" i="10" s="1"/>
  <c r="O33" i="10" s="1"/>
  <c r="D33" i="10"/>
  <c r="M32" i="10"/>
  <c r="N32" i="10" s="1"/>
  <c r="K32" i="10"/>
  <c r="L32" i="10" s="1"/>
  <c r="O32" i="10" s="1"/>
  <c r="D32" i="10"/>
  <c r="M31" i="10"/>
  <c r="N31" i="10" s="1"/>
  <c r="K31" i="10"/>
  <c r="L31" i="10" s="1"/>
  <c r="O31" i="10" s="1"/>
  <c r="D31" i="10"/>
  <c r="M30" i="10"/>
  <c r="N30" i="10" s="1"/>
  <c r="K30" i="10"/>
  <c r="L30" i="10" s="1"/>
  <c r="O30" i="10" s="1"/>
  <c r="D30" i="10"/>
  <c r="M29" i="10"/>
  <c r="N29" i="10" s="1"/>
  <c r="K29" i="10"/>
  <c r="L29" i="10" s="1"/>
  <c r="O29" i="10" s="1"/>
  <c r="D29" i="10"/>
  <c r="M28" i="10"/>
  <c r="N28" i="10" s="1"/>
  <c r="K28" i="10"/>
  <c r="L28" i="10" s="1"/>
  <c r="O28" i="10" s="1"/>
  <c r="D28" i="10"/>
  <c r="M27" i="10"/>
  <c r="N27" i="10" s="1"/>
  <c r="K27" i="10"/>
  <c r="L27" i="10" s="1"/>
  <c r="O27" i="10" s="1"/>
  <c r="D27" i="10"/>
  <c r="M26" i="10"/>
  <c r="N26" i="10" s="1"/>
  <c r="K26" i="10"/>
  <c r="L26" i="10" s="1"/>
  <c r="O26" i="10" s="1"/>
  <c r="D26" i="10"/>
  <c r="M25" i="10"/>
  <c r="N25" i="10" s="1"/>
  <c r="K25" i="10"/>
  <c r="L25" i="10" s="1"/>
  <c r="O25" i="10" s="1"/>
  <c r="D25" i="10"/>
  <c r="M24" i="10"/>
  <c r="N24" i="10" s="1"/>
  <c r="K24" i="10"/>
  <c r="L24" i="10" s="1"/>
  <c r="O24" i="10" s="1"/>
  <c r="D24" i="10"/>
  <c r="M23" i="10"/>
  <c r="N23" i="10" s="1"/>
  <c r="K23" i="10"/>
  <c r="L23" i="10" s="1"/>
  <c r="O23" i="10" s="1"/>
  <c r="D23" i="10"/>
  <c r="M22" i="10"/>
  <c r="N22" i="10" s="1"/>
  <c r="K22" i="10"/>
  <c r="L22" i="10" s="1"/>
  <c r="O22" i="10" s="1"/>
  <c r="D22" i="10"/>
  <c r="M21" i="10"/>
  <c r="N21" i="10" s="1"/>
  <c r="K21" i="10"/>
  <c r="L21" i="10" s="1"/>
  <c r="O21" i="10" s="1"/>
  <c r="D21" i="10"/>
  <c r="M20" i="10"/>
  <c r="N20" i="10" s="1"/>
  <c r="K20" i="10"/>
  <c r="L20" i="10" s="1"/>
  <c r="O20" i="10" s="1"/>
  <c r="D20" i="10"/>
  <c r="M19" i="10"/>
  <c r="N19" i="10" s="1"/>
  <c r="K19" i="10"/>
  <c r="L19" i="10" s="1"/>
  <c r="O19" i="10" s="1"/>
  <c r="D19" i="10"/>
  <c r="M18" i="10"/>
  <c r="N18" i="10" s="1"/>
  <c r="K18" i="10"/>
  <c r="L18" i="10" s="1"/>
  <c r="O18" i="10" s="1"/>
  <c r="D18" i="10"/>
  <c r="M17" i="10"/>
  <c r="N17" i="10" s="1"/>
  <c r="K17" i="10"/>
  <c r="L17" i="10" s="1"/>
  <c r="O17" i="10" s="1"/>
  <c r="D17" i="10"/>
  <c r="M16" i="10"/>
  <c r="N16" i="10" s="1"/>
  <c r="K16" i="10"/>
  <c r="L16" i="10" s="1"/>
  <c r="O16" i="10" s="1"/>
  <c r="D16" i="10"/>
  <c r="M15" i="10"/>
  <c r="N15" i="10" s="1"/>
  <c r="K15" i="10"/>
  <c r="L15" i="10" s="1"/>
  <c r="O15" i="10" s="1"/>
  <c r="D15" i="10"/>
  <c r="M14" i="10"/>
  <c r="N14" i="10" s="1"/>
  <c r="K14" i="10"/>
  <c r="L14" i="10" s="1"/>
  <c r="O14" i="10" s="1"/>
  <c r="D14" i="10"/>
  <c r="M13" i="10"/>
  <c r="N13" i="10" s="1"/>
  <c r="K13" i="10"/>
  <c r="L13" i="10" s="1"/>
  <c r="O13" i="10" s="1"/>
  <c r="D13" i="10"/>
  <c r="M12" i="10"/>
  <c r="N12" i="10" s="1"/>
  <c r="K12" i="10"/>
  <c r="L12" i="10" s="1"/>
  <c r="O12" i="10" s="1"/>
  <c r="D12" i="10"/>
  <c r="M11" i="10"/>
  <c r="N11" i="10" s="1"/>
  <c r="K11" i="10"/>
  <c r="L11" i="10" s="1"/>
  <c r="O11" i="10" s="1"/>
  <c r="D11" i="10"/>
  <c r="M10" i="10"/>
  <c r="N10" i="10" s="1"/>
  <c r="K10" i="10"/>
  <c r="L10" i="10" s="1"/>
  <c r="O10" i="10" s="1"/>
  <c r="D10" i="10"/>
  <c r="M9" i="10"/>
  <c r="N9" i="10" s="1"/>
  <c r="K9" i="10"/>
  <c r="L9" i="10" s="1"/>
  <c r="O9" i="10" s="1"/>
  <c r="D9" i="10"/>
  <c r="M8" i="10"/>
  <c r="N8" i="10" s="1"/>
  <c r="K8" i="10"/>
  <c r="L8" i="10" s="1"/>
  <c r="O8" i="10" s="1"/>
  <c r="D8" i="10"/>
  <c r="M7" i="10"/>
  <c r="N7" i="10" s="1"/>
  <c r="K7" i="10"/>
  <c r="L7" i="10" s="1"/>
  <c r="O7" i="10" s="1"/>
  <c r="D7" i="10"/>
  <c r="M6" i="10"/>
  <c r="N6" i="10" s="1"/>
  <c r="K6" i="10"/>
  <c r="L6" i="10" s="1"/>
  <c r="O6" i="10" s="1"/>
  <c r="D6" i="10"/>
  <c r="M5" i="10"/>
  <c r="N5" i="10" s="1"/>
  <c r="K5" i="10"/>
  <c r="L5" i="10" s="1"/>
  <c r="O5" i="10" s="1"/>
  <c r="D5" i="10"/>
  <c r="M4" i="10"/>
  <c r="N4" i="10" s="1"/>
  <c r="K4" i="10"/>
  <c r="L4" i="10" s="1"/>
  <c r="O4" i="10" s="1"/>
  <c r="D4" i="10"/>
  <c r="L53" i="9"/>
  <c r="M53" i="9" s="1"/>
  <c r="J53" i="9"/>
  <c r="K53" i="9" s="1"/>
  <c r="N53" i="9" s="1"/>
  <c r="C53" i="9"/>
  <c r="L52" i="9"/>
  <c r="M52" i="9" s="1"/>
  <c r="J52" i="9"/>
  <c r="K52" i="9" s="1"/>
  <c r="N52" i="9" s="1"/>
  <c r="C52" i="9"/>
  <c r="L51" i="9"/>
  <c r="M51" i="9" s="1"/>
  <c r="J51" i="9"/>
  <c r="K51" i="9" s="1"/>
  <c r="N51" i="9" s="1"/>
  <c r="C51" i="9"/>
  <c r="L50" i="9"/>
  <c r="M50" i="9" s="1"/>
  <c r="J50" i="9"/>
  <c r="K50" i="9" s="1"/>
  <c r="N50" i="9" s="1"/>
  <c r="C50" i="9"/>
  <c r="L49" i="9"/>
  <c r="M49" i="9" s="1"/>
  <c r="J49" i="9"/>
  <c r="K49" i="9" s="1"/>
  <c r="N49" i="9" s="1"/>
  <c r="C49" i="9"/>
  <c r="L48" i="9"/>
  <c r="M48" i="9" s="1"/>
  <c r="J48" i="9"/>
  <c r="K48" i="9" s="1"/>
  <c r="N48" i="9" s="1"/>
  <c r="C48" i="9"/>
  <c r="L47" i="9"/>
  <c r="M47" i="9" s="1"/>
  <c r="J47" i="9"/>
  <c r="K47" i="9" s="1"/>
  <c r="N47" i="9" s="1"/>
  <c r="C47" i="9"/>
  <c r="L46" i="9"/>
  <c r="M46" i="9" s="1"/>
  <c r="J46" i="9"/>
  <c r="K46" i="9" s="1"/>
  <c r="N46" i="9" s="1"/>
  <c r="C46" i="9"/>
  <c r="L45" i="9"/>
  <c r="M45" i="9" s="1"/>
  <c r="J45" i="9"/>
  <c r="K45" i="9" s="1"/>
  <c r="N45" i="9" s="1"/>
  <c r="C45" i="9"/>
  <c r="L44" i="9"/>
  <c r="M44" i="9" s="1"/>
  <c r="J44" i="9"/>
  <c r="K44" i="9" s="1"/>
  <c r="N44" i="9" s="1"/>
  <c r="C44" i="9"/>
  <c r="L43" i="9"/>
  <c r="M43" i="9" s="1"/>
  <c r="J43" i="9"/>
  <c r="K43" i="9" s="1"/>
  <c r="N43" i="9" s="1"/>
  <c r="C43" i="9"/>
  <c r="L42" i="9"/>
  <c r="M42" i="9" s="1"/>
  <c r="J42" i="9"/>
  <c r="K42" i="9" s="1"/>
  <c r="N42" i="9" s="1"/>
  <c r="C42" i="9"/>
  <c r="L41" i="9"/>
  <c r="M41" i="9" s="1"/>
  <c r="J41" i="9"/>
  <c r="K41" i="9" s="1"/>
  <c r="N41" i="9" s="1"/>
  <c r="C41" i="9"/>
  <c r="L40" i="9"/>
  <c r="M40" i="9" s="1"/>
  <c r="J40" i="9"/>
  <c r="K40" i="9" s="1"/>
  <c r="N40" i="9" s="1"/>
  <c r="C40" i="9"/>
  <c r="L39" i="9"/>
  <c r="M39" i="9" s="1"/>
  <c r="J39" i="9"/>
  <c r="K39" i="9" s="1"/>
  <c r="N39" i="9" s="1"/>
  <c r="C39" i="9"/>
  <c r="L38" i="9"/>
  <c r="M38" i="9" s="1"/>
  <c r="J38" i="9"/>
  <c r="K38" i="9" s="1"/>
  <c r="N38" i="9" s="1"/>
  <c r="C38" i="9"/>
  <c r="L37" i="9"/>
  <c r="M37" i="9" s="1"/>
  <c r="J37" i="9"/>
  <c r="K37" i="9" s="1"/>
  <c r="N37" i="9" s="1"/>
  <c r="C37" i="9"/>
  <c r="L36" i="9"/>
  <c r="M36" i="9" s="1"/>
  <c r="J36" i="9"/>
  <c r="K36" i="9" s="1"/>
  <c r="N36" i="9" s="1"/>
  <c r="C36" i="9"/>
  <c r="L35" i="9"/>
  <c r="M35" i="9" s="1"/>
  <c r="J35" i="9"/>
  <c r="K35" i="9" s="1"/>
  <c r="N35" i="9" s="1"/>
  <c r="C35" i="9"/>
  <c r="L34" i="9"/>
  <c r="M34" i="9" s="1"/>
  <c r="J34" i="9"/>
  <c r="K34" i="9" s="1"/>
  <c r="N34" i="9" s="1"/>
  <c r="C34" i="9"/>
  <c r="L33" i="9"/>
  <c r="M33" i="9" s="1"/>
  <c r="J33" i="9"/>
  <c r="K33" i="9" s="1"/>
  <c r="N33" i="9" s="1"/>
  <c r="C33" i="9"/>
  <c r="L32" i="9"/>
  <c r="M32" i="9" s="1"/>
  <c r="J32" i="9"/>
  <c r="K32" i="9" s="1"/>
  <c r="N32" i="9" s="1"/>
  <c r="C32" i="9"/>
  <c r="L31" i="9"/>
  <c r="M31" i="9" s="1"/>
  <c r="J31" i="9"/>
  <c r="K31" i="9" s="1"/>
  <c r="N31" i="9" s="1"/>
  <c r="C31" i="9"/>
  <c r="L30" i="9"/>
  <c r="M30" i="9" s="1"/>
  <c r="J30" i="9"/>
  <c r="K30" i="9" s="1"/>
  <c r="N30" i="9" s="1"/>
  <c r="C30" i="9"/>
  <c r="L29" i="9"/>
  <c r="M29" i="9" s="1"/>
  <c r="J29" i="9"/>
  <c r="K29" i="9" s="1"/>
  <c r="N29" i="9" s="1"/>
  <c r="C29" i="9"/>
  <c r="L28" i="9"/>
  <c r="M28" i="9" s="1"/>
  <c r="J28" i="9"/>
  <c r="K28" i="9" s="1"/>
  <c r="N28" i="9" s="1"/>
  <c r="C28" i="9"/>
  <c r="L27" i="9"/>
  <c r="M27" i="9" s="1"/>
  <c r="J27" i="9"/>
  <c r="K27" i="9" s="1"/>
  <c r="N27" i="9" s="1"/>
  <c r="C27" i="9"/>
  <c r="L26" i="9"/>
  <c r="M26" i="9" s="1"/>
  <c r="J26" i="9"/>
  <c r="K26" i="9" s="1"/>
  <c r="N26" i="9" s="1"/>
  <c r="C26" i="9"/>
  <c r="L25" i="9"/>
  <c r="M25" i="9" s="1"/>
  <c r="J25" i="9"/>
  <c r="K25" i="9" s="1"/>
  <c r="N25" i="9" s="1"/>
  <c r="C25" i="9"/>
  <c r="L24" i="9"/>
  <c r="M24" i="9" s="1"/>
  <c r="J24" i="9"/>
  <c r="K24" i="9" s="1"/>
  <c r="N24" i="9" s="1"/>
  <c r="C24" i="9"/>
  <c r="L23" i="9"/>
  <c r="M23" i="9" s="1"/>
  <c r="J23" i="9"/>
  <c r="K23" i="9" s="1"/>
  <c r="N23" i="9" s="1"/>
  <c r="C23" i="9"/>
  <c r="L22" i="9"/>
  <c r="M22" i="9" s="1"/>
  <c r="J22" i="9"/>
  <c r="K22" i="9" s="1"/>
  <c r="N22" i="9" s="1"/>
  <c r="C22" i="9"/>
  <c r="L21" i="9"/>
  <c r="M21" i="9" s="1"/>
  <c r="J21" i="9"/>
  <c r="K21" i="9" s="1"/>
  <c r="N21" i="9" s="1"/>
  <c r="C21" i="9"/>
  <c r="L20" i="9"/>
  <c r="M20" i="9" s="1"/>
  <c r="J20" i="9"/>
  <c r="K20" i="9" s="1"/>
  <c r="N20" i="9" s="1"/>
  <c r="C20" i="9"/>
  <c r="L19" i="9"/>
  <c r="M19" i="9" s="1"/>
  <c r="J19" i="9"/>
  <c r="K19" i="9" s="1"/>
  <c r="N19" i="9" s="1"/>
  <c r="C19" i="9"/>
  <c r="L18" i="9"/>
  <c r="M18" i="9" s="1"/>
  <c r="J18" i="9"/>
  <c r="K18" i="9" s="1"/>
  <c r="N18" i="9" s="1"/>
  <c r="C18" i="9"/>
  <c r="L17" i="9"/>
  <c r="M17" i="9" s="1"/>
  <c r="J17" i="9"/>
  <c r="K17" i="9" s="1"/>
  <c r="N17" i="9" s="1"/>
  <c r="C17" i="9"/>
  <c r="L16" i="9"/>
  <c r="M16" i="9" s="1"/>
  <c r="J16" i="9"/>
  <c r="K16" i="9" s="1"/>
  <c r="N16" i="9" s="1"/>
  <c r="C16" i="9"/>
  <c r="L15" i="9"/>
  <c r="M15" i="9" s="1"/>
  <c r="J15" i="9"/>
  <c r="K15" i="9" s="1"/>
  <c r="N15" i="9" s="1"/>
  <c r="C15" i="9"/>
  <c r="L14" i="9"/>
  <c r="M14" i="9" s="1"/>
  <c r="J14" i="9"/>
  <c r="K14" i="9" s="1"/>
  <c r="N14" i="9" s="1"/>
  <c r="C14" i="9"/>
  <c r="L13" i="9"/>
  <c r="M13" i="9" s="1"/>
  <c r="J13" i="9"/>
  <c r="K13" i="9" s="1"/>
  <c r="N13" i="9" s="1"/>
  <c r="C13" i="9"/>
  <c r="L12" i="9"/>
  <c r="M12" i="9" s="1"/>
  <c r="J12" i="9"/>
  <c r="K12" i="9" s="1"/>
  <c r="N12" i="9" s="1"/>
  <c r="C12" i="9"/>
  <c r="L11" i="9"/>
  <c r="M11" i="9" s="1"/>
  <c r="J11" i="9"/>
  <c r="K11" i="9" s="1"/>
  <c r="N11" i="9" s="1"/>
  <c r="C11" i="9"/>
  <c r="L10" i="9"/>
  <c r="M10" i="9" s="1"/>
  <c r="J10" i="9"/>
  <c r="K10" i="9" s="1"/>
  <c r="N10" i="9" s="1"/>
  <c r="C10" i="9"/>
  <c r="L9" i="9"/>
  <c r="M9" i="9" s="1"/>
  <c r="J9" i="9"/>
  <c r="K9" i="9" s="1"/>
  <c r="N9" i="9" s="1"/>
  <c r="C9" i="9"/>
  <c r="L8" i="9"/>
  <c r="M8" i="9" s="1"/>
  <c r="J8" i="9"/>
  <c r="K8" i="9" s="1"/>
  <c r="N8" i="9" s="1"/>
  <c r="C8" i="9"/>
  <c r="L7" i="9"/>
  <c r="M7" i="9" s="1"/>
  <c r="J7" i="9"/>
  <c r="K7" i="9" s="1"/>
  <c r="N7" i="9" s="1"/>
  <c r="C7" i="9"/>
  <c r="L6" i="9"/>
  <c r="M6" i="9" s="1"/>
  <c r="J6" i="9"/>
  <c r="K6" i="9" s="1"/>
  <c r="N6" i="9" s="1"/>
  <c r="C6" i="9"/>
  <c r="L5" i="9"/>
  <c r="M5" i="9" s="1"/>
  <c r="J5" i="9"/>
  <c r="K5" i="9" s="1"/>
  <c r="N5" i="9" s="1"/>
  <c r="C5" i="9"/>
  <c r="L4" i="9"/>
  <c r="M4" i="9" s="1"/>
  <c r="J4" i="9"/>
  <c r="K4" i="9" s="1"/>
  <c r="N4" i="9" s="1"/>
  <c r="C4" i="9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4" i="8"/>
  <c r="L53" i="8"/>
  <c r="M53" i="8" s="1"/>
  <c r="C53" i="8"/>
  <c r="L52" i="8"/>
  <c r="M52" i="8" s="1"/>
  <c r="C52" i="8"/>
  <c r="L51" i="8"/>
  <c r="M51" i="8" s="1"/>
  <c r="C51" i="8"/>
  <c r="L50" i="8"/>
  <c r="M50" i="8" s="1"/>
  <c r="C50" i="8"/>
  <c r="L49" i="8"/>
  <c r="M49" i="8" s="1"/>
  <c r="C49" i="8"/>
  <c r="L48" i="8"/>
  <c r="M48" i="8" s="1"/>
  <c r="C48" i="8"/>
  <c r="L47" i="8"/>
  <c r="M47" i="8" s="1"/>
  <c r="C47" i="8"/>
  <c r="L46" i="8"/>
  <c r="M46" i="8" s="1"/>
  <c r="C46" i="8"/>
  <c r="L45" i="8"/>
  <c r="M45" i="8" s="1"/>
  <c r="C45" i="8"/>
  <c r="L44" i="8"/>
  <c r="M44" i="8" s="1"/>
  <c r="C44" i="8"/>
  <c r="L43" i="8"/>
  <c r="M43" i="8" s="1"/>
  <c r="C43" i="8"/>
  <c r="L42" i="8"/>
  <c r="M42" i="8" s="1"/>
  <c r="C42" i="8"/>
  <c r="L41" i="8"/>
  <c r="M41" i="8" s="1"/>
  <c r="C41" i="8"/>
  <c r="L40" i="8"/>
  <c r="M40" i="8" s="1"/>
  <c r="C40" i="8"/>
  <c r="L39" i="8"/>
  <c r="M39" i="8" s="1"/>
  <c r="C39" i="8"/>
  <c r="L38" i="8"/>
  <c r="M38" i="8" s="1"/>
  <c r="C38" i="8"/>
  <c r="L37" i="8"/>
  <c r="M37" i="8" s="1"/>
  <c r="C37" i="8"/>
  <c r="L36" i="8"/>
  <c r="M36" i="8" s="1"/>
  <c r="C36" i="8"/>
  <c r="L35" i="8"/>
  <c r="M35" i="8" s="1"/>
  <c r="C35" i="8"/>
  <c r="L34" i="8"/>
  <c r="M34" i="8" s="1"/>
  <c r="C34" i="8"/>
  <c r="L33" i="8"/>
  <c r="M33" i="8" s="1"/>
  <c r="C33" i="8"/>
  <c r="L32" i="8"/>
  <c r="M32" i="8" s="1"/>
  <c r="C32" i="8"/>
  <c r="L31" i="8"/>
  <c r="M31" i="8" s="1"/>
  <c r="C31" i="8"/>
  <c r="L30" i="8"/>
  <c r="M30" i="8" s="1"/>
  <c r="C30" i="8"/>
  <c r="L29" i="8"/>
  <c r="M29" i="8" s="1"/>
  <c r="C29" i="8"/>
  <c r="L28" i="8"/>
  <c r="M28" i="8" s="1"/>
  <c r="C28" i="8"/>
  <c r="L27" i="8"/>
  <c r="M27" i="8" s="1"/>
  <c r="C27" i="8"/>
  <c r="L26" i="8"/>
  <c r="M26" i="8" s="1"/>
  <c r="C26" i="8"/>
  <c r="L25" i="8"/>
  <c r="M25" i="8" s="1"/>
  <c r="C25" i="8"/>
  <c r="L24" i="8"/>
  <c r="M24" i="8" s="1"/>
  <c r="C24" i="8"/>
  <c r="L23" i="8"/>
  <c r="M23" i="8" s="1"/>
  <c r="C23" i="8"/>
  <c r="L22" i="8"/>
  <c r="M22" i="8" s="1"/>
  <c r="C22" i="8"/>
  <c r="L21" i="8"/>
  <c r="M21" i="8" s="1"/>
  <c r="C21" i="8"/>
  <c r="L20" i="8"/>
  <c r="M20" i="8" s="1"/>
  <c r="C20" i="8"/>
  <c r="L19" i="8"/>
  <c r="M19" i="8" s="1"/>
  <c r="C19" i="8"/>
  <c r="L18" i="8"/>
  <c r="M18" i="8" s="1"/>
  <c r="C18" i="8"/>
  <c r="L17" i="8"/>
  <c r="M17" i="8" s="1"/>
  <c r="C17" i="8"/>
  <c r="L16" i="8"/>
  <c r="M16" i="8" s="1"/>
  <c r="C16" i="8"/>
  <c r="L15" i="8"/>
  <c r="M15" i="8" s="1"/>
  <c r="C15" i="8"/>
  <c r="L14" i="8"/>
  <c r="M14" i="8" s="1"/>
  <c r="C14" i="8"/>
  <c r="L13" i="8"/>
  <c r="M13" i="8" s="1"/>
  <c r="C13" i="8"/>
  <c r="L12" i="8"/>
  <c r="M12" i="8" s="1"/>
  <c r="C12" i="8"/>
  <c r="L11" i="8"/>
  <c r="M11" i="8" s="1"/>
  <c r="C11" i="8"/>
  <c r="L10" i="8"/>
  <c r="M10" i="8" s="1"/>
  <c r="C10" i="8"/>
  <c r="L9" i="8"/>
  <c r="M9" i="8" s="1"/>
  <c r="C9" i="8"/>
  <c r="L8" i="8"/>
  <c r="M8" i="8" s="1"/>
  <c r="C8" i="8"/>
  <c r="L7" i="8"/>
  <c r="M7" i="8" s="1"/>
  <c r="C7" i="8"/>
  <c r="L6" i="8"/>
  <c r="M6" i="8" s="1"/>
  <c r="C6" i="8"/>
  <c r="L5" i="8"/>
  <c r="M5" i="8" s="1"/>
  <c r="C5" i="8"/>
  <c r="L4" i="8"/>
  <c r="M4" i="8" s="1"/>
  <c r="C4" i="8"/>
  <c r="K53" i="7"/>
  <c r="L53" i="7" s="1"/>
  <c r="D53" i="7"/>
  <c r="K52" i="7"/>
  <c r="L52" i="7" s="1"/>
  <c r="D52" i="7"/>
  <c r="K51" i="7"/>
  <c r="L51" i="7" s="1"/>
  <c r="D51" i="7"/>
  <c r="K50" i="7"/>
  <c r="L50" i="7" s="1"/>
  <c r="D50" i="7"/>
  <c r="K49" i="7"/>
  <c r="L49" i="7" s="1"/>
  <c r="D49" i="7"/>
  <c r="K48" i="7"/>
  <c r="L48" i="7" s="1"/>
  <c r="D48" i="7"/>
  <c r="K47" i="7"/>
  <c r="L47" i="7" s="1"/>
  <c r="D47" i="7"/>
  <c r="K46" i="7"/>
  <c r="L46" i="7" s="1"/>
  <c r="D46" i="7"/>
  <c r="K45" i="7"/>
  <c r="L45" i="7" s="1"/>
  <c r="D45" i="7"/>
  <c r="K44" i="7"/>
  <c r="L44" i="7" s="1"/>
  <c r="D44" i="7"/>
  <c r="K43" i="7"/>
  <c r="L43" i="7" s="1"/>
  <c r="D43" i="7"/>
  <c r="K42" i="7"/>
  <c r="L42" i="7" s="1"/>
  <c r="D42" i="7"/>
  <c r="K41" i="7"/>
  <c r="L41" i="7" s="1"/>
  <c r="D41" i="7"/>
  <c r="K40" i="7"/>
  <c r="L40" i="7" s="1"/>
  <c r="D40" i="7"/>
  <c r="K39" i="7"/>
  <c r="L39" i="7" s="1"/>
  <c r="D39" i="7"/>
  <c r="K38" i="7"/>
  <c r="L38" i="7" s="1"/>
  <c r="D38" i="7"/>
  <c r="K37" i="7"/>
  <c r="L37" i="7" s="1"/>
  <c r="D37" i="7"/>
  <c r="K36" i="7"/>
  <c r="L36" i="7" s="1"/>
  <c r="D36" i="7"/>
  <c r="K35" i="7"/>
  <c r="L35" i="7" s="1"/>
  <c r="D35" i="7"/>
  <c r="K34" i="7"/>
  <c r="L34" i="7" s="1"/>
  <c r="D34" i="7"/>
  <c r="K33" i="7"/>
  <c r="L33" i="7" s="1"/>
  <c r="D33" i="7"/>
  <c r="K32" i="7"/>
  <c r="L32" i="7" s="1"/>
  <c r="D32" i="7"/>
  <c r="K31" i="7"/>
  <c r="L31" i="7" s="1"/>
  <c r="D31" i="7"/>
  <c r="K30" i="7"/>
  <c r="L30" i="7" s="1"/>
  <c r="D30" i="7"/>
  <c r="K29" i="7"/>
  <c r="L29" i="7" s="1"/>
  <c r="D29" i="7"/>
  <c r="K28" i="7"/>
  <c r="L28" i="7" s="1"/>
  <c r="D28" i="7"/>
  <c r="K27" i="7"/>
  <c r="L27" i="7" s="1"/>
  <c r="D27" i="7"/>
  <c r="K26" i="7"/>
  <c r="L26" i="7" s="1"/>
  <c r="D26" i="7"/>
  <c r="K25" i="7"/>
  <c r="L25" i="7" s="1"/>
  <c r="D25" i="7"/>
  <c r="K24" i="7"/>
  <c r="L24" i="7" s="1"/>
  <c r="D24" i="7"/>
  <c r="K23" i="7"/>
  <c r="L23" i="7" s="1"/>
  <c r="D23" i="7"/>
  <c r="K22" i="7"/>
  <c r="L22" i="7" s="1"/>
  <c r="D22" i="7"/>
  <c r="K21" i="7"/>
  <c r="L21" i="7" s="1"/>
  <c r="D21" i="7"/>
  <c r="K20" i="7"/>
  <c r="L20" i="7" s="1"/>
  <c r="D20" i="7"/>
  <c r="K19" i="7"/>
  <c r="L19" i="7" s="1"/>
  <c r="D19" i="7"/>
  <c r="K18" i="7"/>
  <c r="L18" i="7" s="1"/>
  <c r="D18" i="7"/>
  <c r="K17" i="7"/>
  <c r="L17" i="7" s="1"/>
  <c r="D17" i="7"/>
  <c r="K16" i="7"/>
  <c r="L16" i="7" s="1"/>
  <c r="D16" i="7"/>
  <c r="K15" i="7"/>
  <c r="L15" i="7" s="1"/>
  <c r="D15" i="7"/>
  <c r="K14" i="7"/>
  <c r="L14" i="7" s="1"/>
  <c r="D14" i="7"/>
  <c r="K13" i="7"/>
  <c r="L13" i="7" s="1"/>
  <c r="D13" i="7"/>
  <c r="K12" i="7"/>
  <c r="L12" i="7" s="1"/>
  <c r="D12" i="7"/>
  <c r="K11" i="7"/>
  <c r="L11" i="7" s="1"/>
  <c r="D11" i="7"/>
  <c r="K10" i="7"/>
  <c r="L10" i="7" s="1"/>
  <c r="D10" i="7"/>
  <c r="K9" i="7"/>
  <c r="L9" i="7" s="1"/>
  <c r="D9" i="7"/>
  <c r="K8" i="7"/>
  <c r="L8" i="7" s="1"/>
  <c r="D8" i="7"/>
  <c r="K7" i="7"/>
  <c r="L7" i="7" s="1"/>
  <c r="D7" i="7"/>
  <c r="K6" i="7"/>
  <c r="L6" i="7" s="1"/>
  <c r="D6" i="7"/>
  <c r="K5" i="7"/>
  <c r="L5" i="7" s="1"/>
  <c r="D5" i="7"/>
  <c r="K4" i="7"/>
  <c r="L4" i="7" s="1"/>
  <c r="D4" i="7"/>
  <c r="K53" i="6"/>
  <c r="L53" i="6" s="1"/>
  <c r="D53" i="6"/>
  <c r="K52" i="6"/>
  <c r="L52" i="6" s="1"/>
  <c r="D52" i="6"/>
  <c r="K51" i="6"/>
  <c r="L51" i="6" s="1"/>
  <c r="D51" i="6"/>
  <c r="K50" i="6"/>
  <c r="L50" i="6" s="1"/>
  <c r="D50" i="6"/>
  <c r="K49" i="6"/>
  <c r="L49" i="6" s="1"/>
  <c r="D49" i="6"/>
  <c r="K48" i="6"/>
  <c r="L48" i="6" s="1"/>
  <c r="D48" i="6"/>
  <c r="K47" i="6"/>
  <c r="L47" i="6" s="1"/>
  <c r="D47" i="6"/>
  <c r="K46" i="6"/>
  <c r="L46" i="6" s="1"/>
  <c r="D46" i="6"/>
  <c r="K45" i="6"/>
  <c r="L45" i="6" s="1"/>
  <c r="D45" i="6"/>
  <c r="K44" i="6"/>
  <c r="L44" i="6" s="1"/>
  <c r="D44" i="6"/>
  <c r="K43" i="6"/>
  <c r="L43" i="6" s="1"/>
  <c r="D43" i="6"/>
  <c r="K42" i="6"/>
  <c r="L42" i="6" s="1"/>
  <c r="D42" i="6"/>
  <c r="K41" i="6"/>
  <c r="L41" i="6" s="1"/>
  <c r="D41" i="6"/>
  <c r="K40" i="6"/>
  <c r="L40" i="6" s="1"/>
  <c r="D40" i="6"/>
  <c r="K39" i="6"/>
  <c r="L39" i="6" s="1"/>
  <c r="D39" i="6"/>
  <c r="K38" i="6"/>
  <c r="L38" i="6" s="1"/>
  <c r="D38" i="6"/>
  <c r="K37" i="6"/>
  <c r="L37" i="6" s="1"/>
  <c r="D37" i="6"/>
  <c r="K36" i="6"/>
  <c r="L36" i="6" s="1"/>
  <c r="D36" i="6"/>
  <c r="K35" i="6"/>
  <c r="L35" i="6" s="1"/>
  <c r="D35" i="6"/>
  <c r="K34" i="6"/>
  <c r="L34" i="6" s="1"/>
  <c r="D34" i="6"/>
  <c r="K33" i="6"/>
  <c r="L33" i="6" s="1"/>
  <c r="D33" i="6"/>
  <c r="K32" i="6"/>
  <c r="L32" i="6" s="1"/>
  <c r="D32" i="6"/>
  <c r="K31" i="6"/>
  <c r="L31" i="6" s="1"/>
  <c r="D31" i="6"/>
  <c r="K30" i="6"/>
  <c r="L30" i="6" s="1"/>
  <c r="D30" i="6"/>
  <c r="K29" i="6"/>
  <c r="L29" i="6" s="1"/>
  <c r="D29" i="6"/>
  <c r="K28" i="6"/>
  <c r="L28" i="6" s="1"/>
  <c r="D28" i="6"/>
  <c r="K27" i="6"/>
  <c r="L27" i="6" s="1"/>
  <c r="D27" i="6"/>
  <c r="K26" i="6"/>
  <c r="L26" i="6" s="1"/>
  <c r="D26" i="6"/>
  <c r="K25" i="6"/>
  <c r="L25" i="6" s="1"/>
  <c r="D25" i="6"/>
  <c r="K24" i="6"/>
  <c r="L24" i="6" s="1"/>
  <c r="D24" i="6"/>
  <c r="K23" i="6"/>
  <c r="L23" i="6" s="1"/>
  <c r="D23" i="6"/>
  <c r="K22" i="6"/>
  <c r="L22" i="6" s="1"/>
  <c r="D22" i="6"/>
  <c r="K21" i="6"/>
  <c r="L21" i="6" s="1"/>
  <c r="D21" i="6"/>
  <c r="K20" i="6"/>
  <c r="L20" i="6" s="1"/>
  <c r="D20" i="6"/>
  <c r="K19" i="6"/>
  <c r="L19" i="6" s="1"/>
  <c r="D19" i="6"/>
  <c r="K18" i="6"/>
  <c r="L18" i="6" s="1"/>
  <c r="D18" i="6"/>
  <c r="K17" i="6"/>
  <c r="L17" i="6" s="1"/>
  <c r="D17" i="6"/>
  <c r="K16" i="6"/>
  <c r="L16" i="6" s="1"/>
  <c r="D16" i="6"/>
  <c r="K15" i="6"/>
  <c r="L15" i="6" s="1"/>
  <c r="D15" i="6"/>
  <c r="K14" i="6"/>
  <c r="L14" i="6" s="1"/>
  <c r="D14" i="6"/>
  <c r="K13" i="6"/>
  <c r="L13" i="6" s="1"/>
  <c r="D13" i="6"/>
  <c r="K12" i="6"/>
  <c r="L12" i="6" s="1"/>
  <c r="D12" i="6"/>
  <c r="K11" i="6"/>
  <c r="L11" i="6" s="1"/>
  <c r="D11" i="6"/>
  <c r="K10" i="6"/>
  <c r="L10" i="6" s="1"/>
  <c r="D10" i="6"/>
  <c r="K9" i="6"/>
  <c r="L9" i="6" s="1"/>
  <c r="D9" i="6"/>
  <c r="K8" i="6"/>
  <c r="L8" i="6" s="1"/>
  <c r="D8" i="6"/>
  <c r="K7" i="6"/>
  <c r="L7" i="6" s="1"/>
  <c r="D7" i="6"/>
  <c r="K6" i="6"/>
  <c r="L6" i="6" s="1"/>
  <c r="D6" i="6"/>
  <c r="K5" i="6"/>
  <c r="L5" i="6" s="1"/>
  <c r="D5" i="6"/>
  <c r="K4" i="6"/>
  <c r="L4" i="6" s="1"/>
  <c r="D4" i="6"/>
  <c r="J53" i="5"/>
  <c r="K53" i="5" s="1"/>
  <c r="C53" i="5"/>
  <c r="J52" i="5"/>
  <c r="K52" i="5" s="1"/>
  <c r="C52" i="5"/>
  <c r="J51" i="5"/>
  <c r="K51" i="5" s="1"/>
  <c r="C51" i="5"/>
  <c r="J50" i="5"/>
  <c r="K50" i="5" s="1"/>
  <c r="C50" i="5"/>
  <c r="J49" i="5"/>
  <c r="K49" i="5" s="1"/>
  <c r="C49" i="5"/>
  <c r="J48" i="5"/>
  <c r="K48" i="5" s="1"/>
  <c r="C48" i="5"/>
  <c r="J47" i="5"/>
  <c r="K47" i="5" s="1"/>
  <c r="C47" i="5"/>
  <c r="J46" i="5"/>
  <c r="K46" i="5" s="1"/>
  <c r="C46" i="5"/>
  <c r="J45" i="5"/>
  <c r="K45" i="5" s="1"/>
  <c r="C45" i="5"/>
  <c r="J44" i="5"/>
  <c r="K44" i="5" s="1"/>
  <c r="C44" i="5"/>
  <c r="J43" i="5"/>
  <c r="K43" i="5" s="1"/>
  <c r="C43" i="5"/>
  <c r="J42" i="5"/>
  <c r="K42" i="5" s="1"/>
  <c r="C42" i="5"/>
  <c r="J41" i="5"/>
  <c r="K41" i="5" s="1"/>
  <c r="C41" i="5"/>
  <c r="J40" i="5"/>
  <c r="K40" i="5" s="1"/>
  <c r="C40" i="5"/>
  <c r="J39" i="5"/>
  <c r="K39" i="5" s="1"/>
  <c r="C39" i="5"/>
  <c r="J38" i="5"/>
  <c r="K38" i="5" s="1"/>
  <c r="C38" i="5"/>
  <c r="J37" i="5"/>
  <c r="K37" i="5" s="1"/>
  <c r="C37" i="5"/>
  <c r="J36" i="5"/>
  <c r="K36" i="5" s="1"/>
  <c r="C36" i="5"/>
  <c r="J35" i="5"/>
  <c r="K35" i="5" s="1"/>
  <c r="C35" i="5"/>
  <c r="J34" i="5"/>
  <c r="K34" i="5" s="1"/>
  <c r="C34" i="5"/>
  <c r="J33" i="5"/>
  <c r="K33" i="5" s="1"/>
  <c r="C33" i="5"/>
  <c r="J32" i="5"/>
  <c r="K32" i="5" s="1"/>
  <c r="C32" i="5"/>
  <c r="J31" i="5"/>
  <c r="K31" i="5" s="1"/>
  <c r="C31" i="5"/>
  <c r="J30" i="5"/>
  <c r="K30" i="5" s="1"/>
  <c r="C30" i="5"/>
  <c r="J29" i="5"/>
  <c r="K29" i="5" s="1"/>
  <c r="C29" i="5"/>
  <c r="J28" i="5"/>
  <c r="K28" i="5" s="1"/>
  <c r="C28" i="5"/>
  <c r="J27" i="5"/>
  <c r="K27" i="5" s="1"/>
  <c r="C27" i="5"/>
  <c r="J26" i="5"/>
  <c r="K26" i="5" s="1"/>
  <c r="C26" i="5"/>
  <c r="J25" i="5"/>
  <c r="K25" i="5" s="1"/>
  <c r="C25" i="5"/>
  <c r="J24" i="5"/>
  <c r="K24" i="5" s="1"/>
  <c r="C24" i="5"/>
  <c r="J23" i="5"/>
  <c r="K23" i="5" s="1"/>
  <c r="C23" i="5"/>
  <c r="J22" i="5"/>
  <c r="K22" i="5" s="1"/>
  <c r="C22" i="5"/>
  <c r="J21" i="5"/>
  <c r="K21" i="5" s="1"/>
  <c r="C21" i="5"/>
  <c r="J20" i="5"/>
  <c r="K20" i="5" s="1"/>
  <c r="C20" i="5"/>
  <c r="J19" i="5"/>
  <c r="K19" i="5" s="1"/>
  <c r="C19" i="5"/>
  <c r="J18" i="5"/>
  <c r="K18" i="5" s="1"/>
  <c r="C18" i="5"/>
  <c r="J17" i="5"/>
  <c r="K17" i="5" s="1"/>
  <c r="C17" i="5"/>
  <c r="J16" i="5"/>
  <c r="K16" i="5" s="1"/>
  <c r="C16" i="5"/>
  <c r="J15" i="5"/>
  <c r="K15" i="5" s="1"/>
  <c r="C15" i="5"/>
  <c r="J14" i="5"/>
  <c r="K14" i="5" s="1"/>
  <c r="C14" i="5"/>
  <c r="J13" i="5"/>
  <c r="K13" i="5" s="1"/>
  <c r="C13" i="5"/>
  <c r="J12" i="5"/>
  <c r="K12" i="5" s="1"/>
  <c r="C12" i="5"/>
  <c r="J11" i="5"/>
  <c r="K11" i="5" s="1"/>
  <c r="C11" i="5"/>
  <c r="J10" i="5"/>
  <c r="K10" i="5" s="1"/>
  <c r="C10" i="5"/>
  <c r="J9" i="5"/>
  <c r="K9" i="5" s="1"/>
  <c r="C9" i="5"/>
  <c r="J8" i="5"/>
  <c r="K8" i="5" s="1"/>
  <c r="C8" i="5"/>
  <c r="J7" i="5"/>
  <c r="K7" i="5" s="1"/>
  <c r="C7" i="5"/>
  <c r="J6" i="5"/>
  <c r="K6" i="5" s="1"/>
  <c r="C6" i="5"/>
  <c r="J5" i="5"/>
  <c r="K5" i="5" s="1"/>
  <c r="C5" i="5"/>
  <c r="J4" i="5"/>
  <c r="K4" i="5" s="1"/>
  <c r="C4" i="5"/>
  <c r="J53" i="4"/>
  <c r="K53" i="4" s="1"/>
  <c r="C53" i="4"/>
  <c r="J52" i="4"/>
  <c r="K52" i="4" s="1"/>
  <c r="C52" i="4"/>
  <c r="J51" i="4"/>
  <c r="K51" i="4" s="1"/>
  <c r="C51" i="4"/>
  <c r="J50" i="4"/>
  <c r="K50" i="4" s="1"/>
  <c r="C50" i="4"/>
  <c r="J49" i="4"/>
  <c r="K49" i="4" s="1"/>
  <c r="C49" i="4"/>
  <c r="J48" i="4"/>
  <c r="K48" i="4" s="1"/>
  <c r="C48" i="4"/>
  <c r="J47" i="4"/>
  <c r="K47" i="4" s="1"/>
  <c r="C47" i="4"/>
  <c r="J46" i="4"/>
  <c r="K46" i="4" s="1"/>
  <c r="C46" i="4"/>
  <c r="J45" i="4"/>
  <c r="K45" i="4" s="1"/>
  <c r="C45" i="4"/>
  <c r="J44" i="4"/>
  <c r="K44" i="4" s="1"/>
  <c r="C44" i="4"/>
  <c r="J43" i="4"/>
  <c r="K43" i="4" s="1"/>
  <c r="C43" i="4"/>
  <c r="J42" i="4"/>
  <c r="K42" i="4" s="1"/>
  <c r="C42" i="4"/>
  <c r="J41" i="4"/>
  <c r="K41" i="4" s="1"/>
  <c r="C41" i="4"/>
  <c r="J40" i="4"/>
  <c r="K40" i="4" s="1"/>
  <c r="C40" i="4"/>
  <c r="J39" i="4"/>
  <c r="K39" i="4" s="1"/>
  <c r="C39" i="4"/>
  <c r="J38" i="4"/>
  <c r="K38" i="4" s="1"/>
  <c r="C38" i="4"/>
  <c r="J37" i="4"/>
  <c r="K37" i="4" s="1"/>
  <c r="C37" i="4"/>
  <c r="J36" i="4"/>
  <c r="K36" i="4" s="1"/>
  <c r="C36" i="4"/>
  <c r="J35" i="4"/>
  <c r="K35" i="4" s="1"/>
  <c r="C35" i="4"/>
  <c r="J34" i="4"/>
  <c r="K34" i="4" s="1"/>
  <c r="C34" i="4"/>
  <c r="J33" i="4"/>
  <c r="K33" i="4" s="1"/>
  <c r="C33" i="4"/>
  <c r="J32" i="4"/>
  <c r="K32" i="4" s="1"/>
  <c r="C32" i="4"/>
  <c r="J31" i="4"/>
  <c r="K31" i="4" s="1"/>
  <c r="C31" i="4"/>
  <c r="J30" i="4"/>
  <c r="K30" i="4" s="1"/>
  <c r="C30" i="4"/>
  <c r="J29" i="4"/>
  <c r="K29" i="4" s="1"/>
  <c r="C29" i="4"/>
  <c r="J28" i="4"/>
  <c r="K28" i="4" s="1"/>
  <c r="C28" i="4"/>
  <c r="J27" i="4"/>
  <c r="K27" i="4" s="1"/>
  <c r="C27" i="4"/>
  <c r="J26" i="4"/>
  <c r="K26" i="4" s="1"/>
  <c r="C26" i="4"/>
  <c r="J25" i="4"/>
  <c r="K25" i="4" s="1"/>
  <c r="C25" i="4"/>
  <c r="J24" i="4"/>
  <c r="K24" i="4" s="1"/>
  <c r="C24" i="4"/>
  <c r="J23" i="4"/>
  <c r="K23" i="4" s="1"/>
  <c r="C23" i="4"/>
  <c r="J22" i="4"/>
  <c r="K22" i="4" s="1"/>
  <c r="C22" i="4"/>
  <c r="J21" i="4"/>
  <c r="K21" i="4" s="1"/>
  <c r="C21" i="4"/>
  <c r="J20" i="4"/>
  <c r="K20" i="4" s="1"/>
  <c r="C20" i="4"/>
  <c r="J19" i="4"/>
  <c r="K19" i="4" s="1"/>
  <c r="C19" i="4"/>
  <c r="J18" i="4"/>
  <c r="K18" i="4" s="1"/>
  <c r="C18" i="4"/>
  <c r="J17" i="4"/>
  <c r="K17" i="4" s="1"/>
  <c r="C17" i="4"/>
  <c r="J16" i="4"/>
  <c r="K16" i="4" s="1"/>
  <c r="C16" i="4"/>
  <c r="J15" i="4"/>
  <c r="K15" i="4" s="1"/>
  <c r="C15" i="4"/>
  <c r="J14" i="4"/>
  <c r="K14" i="4" s="1"/>
  <c r="C14" i="4"/>
  <c r="J13" i="4"/>
  <c r="K13" i="4" s="1"/>
  <c r="C13" i="4"/>
  <c r="J12" i="4"/>
  <c r="K12" i="4" s="1"/>
  <c r="C12" i="4"/>
  <c r="J11" i="4"/>
  <c r="K11" i="4" s="1"/>
  <c r="C11" i="4"/>
  <c r="J10" i="4"/>
  <c r="K10" i="4" s="1"/>
  <c r="C10" i="4"/>
  <c r="J9" i="4"/>
  <c r="K9" i="4" s="1"/>
  <c r="C9" i="4"/>
  <c r="J8" i="4"/>
  <c r="K8" i="4" s="1"/>
  <c r="C8" i="4"/>
  <c r="J7" i="4"/>
  <c r="K7" i="4" s="1"/>
  <c r="C7" i="4"/>
  <c r="J6" i="4"/>
  <c r="K6" i="4" s="1"/>
  <c r="C6" i="4"/>
  <c r="J5" i="4"/>
  <c r="K5" i="4" s="1"/>
  <c r="C5" i="4"/>
  <c r="J4" i="4"/>
  <c r="K4" i="4" s="1"/>
  <c r="C4" i="4"/>
  <c r="J53" i="3"/>
  <c r="K53" i="3" s="1"/>
  <c r="C53" i="3"/>
  <c r="J52" i="3"/>
  <c r="K52" i="3" s="1"/>
  <c r="C52" i="3"/>
  <c r="J51" i="3"/>
  <c r="K51" i="3" s="1"/>
  <c r="C51" i="3"/>
  <c r="J50" i="3"/>
  <c r="K50" i="3" s="1"/>
  <c r="C50" i="3"/>
  <c r="J49" i="3"/>
  <c r="K49" i="3" s="1"/>
  <c r="C49" i="3"/>
  <c r="J48" i="3"/>
  <c r="K48" i="3" s="1"/>
  <c r="C48" i="3"/>
  <c r="J47" i="3"/>
  <c r="K47" i="3" s="1"/>
  <c r="C47" i="3"/>
  <c r="J46" i="3"/>
  <c r="K46" i="3" s="1"/>
  <c r="C46" i="3"/>
  <c r="J45" i="3"/>
  <c r="K45" i="3" s="1"/>
  <c r="C45" i="3"/>
  <c r="J44" i="3"/>
  <c r="K44" i="3" s="1"/>
  <c r="C44" i="3"/>
  <c r="J43" i="3"/>
  <c r="K43" i="3" s="1"/>
  <c r="C43" i="3"/>
  <c r="J42" i="3"/>
  <c r="K42" i="3" s="1"/>
  <c r="C42" i="3"/>
  <c r="J41" i="3"/>
  <c r="K41" i="3" s="1"/>
  <c r="C41" i="3"/>
  <c r="J40" i="3"/>
  <c r="K40" i="3" s="1"/>
  <c r="C40" i="3"/>
  <c r="J39" i="3"/>
  <c r="K39" i="3" s="1"/>
  <c r="C39" i="3"/>
  <c r="J38" i="3"/>
  <c r="K38" i="3" s="1"/>
  <c r="C38" i="3"/>
  <c r="J37" i="3"/>
  <c r="K37" i="3" s="1"/>
  <c r="C37" i="3"/>
  <c r="J36" i="3"/>
  <c r="K36" i="3" s="1"/>
  <c r="C36" i="3"/>
  <c r="J35" i="3"/>
  <c r="K35" i="3" s="1"/>
  <c r="C35" i="3"/>
  <c r="J34" i="3"/>
  <c r="K34" i="3" s="1"/>
  <c r="C34" i="3"/>
  <c r="J33" i="3"/>
  <c r="K33" i="3" s="1"/>
  <c r="C33" i="3"/>
  <c r="J32" i="3"/>
  <c r="K32" i="3" s="1"/>
  <c r="C32" i="3"/>
  <c r="J31" i="3"/>
  <c r="K31" i="3" s="1"/>
  <c r="C31" i="3"/>
  <c r="J30" i="3"/>
  <c r="K30" i="3" s="1"/>
  <c r="C30" i="3"/>
  <c r="J29" i="3"/>
  <c r="K29" i="3" s="1"/>
  <c r="C29" i="3"/>
  <c r="J28" i="3"/>
  <c r="K28" i="3" s="1"/>
  <c r="C28" i="3"/>
  <c r="J27" i="3"/>
  <c r="K27" i="3" s="1"/>
  <c r="C27" i="3"/>
  <c r="J26" i="3"/>
  <c r="K26" i="3" s="1"/>
  <c r="C26" i="3"/>
  <c r="J25" i="3"/>
  <c r="K25" i="3" s="1"/>
  <c r="C25" i="3"/>
  <c r="J24" i="3"/>
  <c r="K24" i="3" s="1"/>
  <c r="C24" i="3"/>
  <c r="J23" i="3"/>
  <c r="K23" i="3" s="1"/>
  <c r="C23" i="3"/>
  <c r="J22" i="3"/>
  <c r="K22" i="3" s="1"/>
  <c r="C22" i="3"/>
  <c r="J21" i="3"/>
  <c r="K21" i="3" s="1"/>
  <c r="C21" i="3"/>
  <c r="J20" i="3"/>
  <c r="K20" i="3" s="1"/>
  <c r="C20" i="3"/>
  <c r="J19" i="3"/>
  <c r="K19" i="3" s="1"/>
  <c r="C19" i="3"/>
  <c r="J18" i="3"/>
  <c r="K18" i="3" s="1"/>
  <c r="C18" i="3"/>
  <c r="J17" i="3"/>
  <c r="K17" i="3" s="1"/>
  <c r="C17" i="3"/>
  <c r="J16" i="3"/>
  <c r="K16" i="3" s="1"/>
  <c r="C16" i="3"/>
  <c r="J15" i="3"/>
  <c r="K15" i="3" s="1"/>
  <c r="C15" i="3"/>
  <c r="J14" i="3"/>
  <c r="K14" i="3" s="1"/>
  <c r="C14" i="3"/>
  <c r="J13" i="3"/>
  <c r="K13" i="3" s="1"/>
  <c r="C13" i="3"/>
  <c r="J12" i="3"/>
  <c r="K12" i="3" s="1"/>
  <c r="C12" i="3"/>
  <c r="J11" i="3"/>
  <c r="K11" i="3" s="1"/>
  <c r="C11" i="3"/>
  <c r="J10" i="3"/>
  <c r="K10" i="3" s="1"/>
  <c r="C10" i="3"/>
  <c r="J9" i="3"/>
  <c r="K9" i="3" s="1"/>
  <c r="C9" i="3"/>
  <c r="J8" i="3"/>
  <c r="K8" i="3" s="1"/>
  <c r="C8" i="3"/>
  <c r="J7" i="3"/>
  <c r="K7" i="3" s="1"/>
  <c r="C7" i="3"/>
  <c r="J6" i="3"/>
  <c r="K6" i="3" s="1"/>
  <c r="C6" i="3"/>
  <c r="J5" i="3"/>
  <c r="K5" i="3" s="1"/>
  <c r="C5" i="3"/>
  <c r="J4" i="3"/>
  <c r="K4" i="3" s="1"/>
  <c r="C4" i="3"/>
  <c r="J53" i="2"/>
  <c r="K53" i="2" s="1"/>
  <c r="C53" i="2"/>
  <c r="J52" i="2"/>
  <c r="K52" i="2" s="1"/>
  <c r="C52" i="2"/>
  <c r="J51" i="2"/>
  <c r="K51" i="2" s="1"/>
  <c r="C51" i="2"/>
  <c r="J50" i="2"/>
  <c r="K50" i="2" s="1"/>
  <c r="C50" i="2"/>
  <c r="J49" i="2"/>
  <c r="K49" i="2" s="1"/>
  <c r="C49" i="2"/>
  <c r="J48" i="2"/>
  <c r="K48" i="2" s="1"/>
  <c r="C48" i="2"/>
  <c r="J47" i="2"/>
  <c r="K47" i="2" s="1"/>
  <c r="C47" i="2"/>
  <c r="J46" i="2"/>
  <c r="K46" i="2" s="1"/>
  <c r="C46" i="2"/>
  <c r="J45" i="2"/>
  <c r="K45" i="2" s="1"/>
  <c r="C45" i="2"/>
  <c r="J44" i="2"/>
  <c r="K44" i="2" s="1"/>
  <c r="C44" i="2"/>
  <c r="J43" i="2"/>
  <c r="K43" i="2" s="1"/>
  <c r="C43" i="2"/>
  <c r="J42" i="2"/>
  <c r="K42" i="2" s="1"/>
  <c r="C42" i="2"/>
  <c r="J41" i="2"/>
  <c r="K41" i="2" s="1"/>
  <c r="C41" i="2"/>
  <c r="J40" i="2"/>
  <c r="K40" i="2" s="1"/>
  <c r="C40" i="2"/>
  <c r="J39" i="2"/>
  <c r="K39" i="2" s="1"/>
  <c r="C39" i="2"/>
  <c r="J38" i="2"/>
  <c r="K38" i="2" s="1"/>
  <c r="C38" i="2"/>
  <c r="J37" i="2"/>
  <c r="K37" i="2" s="1"/>
  <c r="C37" i="2"/>
  <c r="J36" i="2"/>
  <c r="K36" i="2" s="1"/>
  <c r="C36" i="2"/>
  <c r="J35" i="2"/>
  <c r="K35" i="2" s="1"/>
  <c r="C35" i="2"/>
  <c r="J34" i="2"/>
  <c r="K34" i="2" s="1"/>
  <c r="C34" i="2"/>
  <c r="J33" i="2"/>
  <c r="K33" i="2" s="1"/>
  <c r="C33" i="2"/>
  <c r="J32" i="2"/>
  <c r="K32" i="2" s="1"/>
  <c r="C32" i="2"/>
  <c r="J31" i="2"/>
  <c r="K31" i="2" s="1"/>
  <c r="C31" i="2"/>
  <c r="J30" i="2"/>
  <c r="K30" i="2" s="1"/>
  <c r="C30" i="2"/>
  <c r="J29" i="2"/>
  <c r="K29" i="2" s="1"/>
  <c r="C29" i="2"/>
  <c r="J28" i="2"/>
  <c r="K28" i="2" s="1"/>
  <c r="C28" i="2"/>
  <c r="J27" i="2"/>
  <c r="K27" i="2" s="1"/>
  <c r="C27" i="2"/>
  <c r="J26" i="2"/>
  <c r="K26" i="2" s="1"/>
  <c r="C26" i="2"/>
  <c r="J25" i="2"/>
  <c r="K25" i="2" s="1"/>
  <c r="C25" i="2"/>
  <c r="J24" i="2"/>
  <c r="K24" i="2" s="1"/>
  <c r="C24" i="2"/>
  <c r="J23" i="2"/>
  <c r="K23" i="2" s="1"/>
  <c r="C23" i="2"/>
  <c r="J22" i="2"/>
  <c r="K22" i="2" s="1"/>
  <c r="C22" i="2"/>
  <c r="J21" i="2"/>
  <c r="K21" i="2" s="1"/>
  <c r="C21" i="2"/>
  <c r="J20" i="2"/>
  <c r="K20" i="2" s="1"/>
  <c r="C20" i="2"/>
  <c r="J19" i="2"/>
  <c r="K19" i="2" s="1"/>
  <c r="C19" i="2"/>
  <c r="J18" i="2"/>
  <c r="K18" i="2" s="1"/>
  <c r="C18" i="2"/>
  <c r="J17" i="2"/>
  <c r="K17" i="2" s="1"/>
  <c r="C17" i="2"/>
  <c r="J16" i="2"/>
  <c r="K16" i="2" s="1"/>
  <c r="C16" i="2"/>
  <c r="J15" i="2"/>
  <c r="K15" i="2" s="1"/>
  <c r="C15" i="2"/>
  <c r="J14" i="2"/>
  <c r="K14" i="2" s="1"/>
  <c r="C14" i="2"/>
  <c r="J13" i="2"/>
  <c r="K13" i="2" s="1"/>
  <c r="C13" i="2"/>
  <c r="J12" i="2"/>
  <c r="K12" i="2" s="1"/>
  <c r="C12" i="2"/>
  <c r="J11" i="2"/>
  <c r="K11" i="2" s="1"/>
  <c r="C11" i="2"/>
  <c r="J10" i="2"/>
  <c r="K10" i="2" s="1"/>
  <c r="C10" i="2"/>
  <c r="J9" i="2"/>
  <c r="K9" i="2" s="1"/>
  <c r="C9" i="2"/>
  <c r="J8" i="2"/>
  <c r="K8" i="2" s="1"/>
  <c r="C8" i="2"/>
  <c r="J7" i="2"/>
  <c r="K7" i="2" s="1"/>
  <c r="C7" i="2"/>
  <c r="J6" i="2"/>
  <c r="K6" i="2" s="1"/>
  <c r="C6" i="2"/>
  <c r="J5" i="2"/>
  <c r="K5" i="2" s="1"/>
  <c r="C5" i="2"/>
  <c r="J4" i="2"/>
  <c r="K4" i="2" s="1"/>
  <c r="C4" i="2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<sst xmlns="http://schemas.openxmlformats.org/spreadsheetml/2006/main" count="2014" uniqueCount="78">
  <si>
    <t>Task 31 — Sales Target vs Actual Analysis</t>
  </si>
  <si>
    <t>Order ID</t>
  </si>
  <si>
    <t>Date</t>
  </si>
  <si>
    <t>Month</t>
  </si>
  <si>
    <t>Product</t>
  </si>
  <si>
    <t>Region</t>
  </si>
  <si>
    <t>Salesperson</t>
  </si>
  <si>
    <t>Quantity</t>
  </si>
  <si>
    <t>Unit Price</t>
  </si>
  <si>
    <t>Sales Amount</t>
  </si>
  <si>
    <t>target amount</t>
  </si>
  <si>
    <t>Achievement</t>
  </si>
  <si>
    <t>Sum of target amount</t>
  </si>
  <si>
    <t>Sum of Sales Amount</t>
  </si>
  <si>
    <t>Average of Achievement</t>
  </si>
  <si>
    <t>Laptop</t>
  </si>
  <si>
    <t>North</t>
  </si>
  <si>
    <t>Rahul</t>
  </si>
  <si>
    <t>Headphones</t>
  </si>
  <si>
    <t>Mobile</t>
  </si>
  <si>
    <t>South</t>
  </si>
  <si>
    <t>Priya</t>
  </si>
  <si>
    <t>Tablet</t>
  </si>
  <si>
    <t>East</t>
  </si>
  <si>
    <t>Amit</t>
  </si>
  <si>
    <t>West</t>
  </si>
  <si>
    <t>Sneha</t>
  </si>
  <si>
    <t>Grand Total</t>
  </si>
  <si>
    <t>Task 32 — Sales Ranking Analysis</t>
  </si>
  <si>
    <t>Task 33 — Top &amp; Bottom Sales Analysis</t>
  </si>
  <si>
    <t>Task 34 — Sales Trend &amp; Growth Analysis</t>
  </si>
  <si>
    <t>August</t>
  </si>
  <si>
    <t>September</t>
  </si>
  <si>
    <t>Sum of Sales Amount2</t>
  </si>
  <si>
    <t>Task 36 — Customer Sales Analysis</t>
  </si>
  <si>
    <t>(All)</t>
  </si>
  <si>
    <t>Customer</t>
  </si>
  <si>
    <t>Values</t>
  </si>
  <si>
    <t>Arjun</t>
  </si>
  <si>
    <t>Count of Order ID</t>
  </si>
  <si>
    <t>Average of Sales Amount2</t>
  </si>
  <si>
    <t>Total Sum of Sales Amount</t>
  </si>
  <si>
    <t>Total Count of Order ID</t>
  </si>
  <si>
    <t>Total Average of Sales Amount2</t>
  </si>
  <si>
    <t>Neha</t>
  </si>
  <si>
    <t>Rohit</t>
  </si>
  <si>
    <t>Pooja</t>
  </si>
  <si>
    <t>Karan</t>
  </si>
  <si>
    <t>Akash</t>
  </si>
  <si>
    <t>Task 35 — Sales Performance by Region &amp; Salesperson</t>
  </si>
  <si>
    <t>(Multiple Items)</t>
  </si>
  <si>
    <t>Sum of Quantity</t>
  </si>
  <si>
    <t>East Total</t>
  </si>
  <si>
    <t>North Total</t>
  </si>
  <si>
    <t>South Total</t>
  </si>
  <si>
    <t>West Total</t>
  </si>
  <si>
    <t>Task 37 — Customer × Region Sales Analysis</t>
  </si>
  <si>
    <t>Task 38 — Product Profitability Analysis</t>
  </si>
  <si>
    <t>Cost</t>
  </si>
  <si>
    <t xml:space="preserve">Profit </t>
  </si>
  <si>
    <t>Profit Percentage</t>
  </si>
  <si>
    <t>Cost Price</t>
  </si>
  <si>
    <t xml:space="preserve">Sum of Profit </t>
  </si>
  <si>
    <t>Average of Profit Percentage</t>
  </si>
  <si>
    <t>Task 39 — Sales Profit Dashboard</t>
  </si>
  <si>
    <t>Task 40 — Customer Profitability Analysis</t>
  </si>
  <si>
    <t>customer</t>
  </si>
  <si>
    <t>Ram</t>
  </si>
  <si>
    <t xml:space="preserve">Total Sum of Profit </t>
  </si>
  <si>
    <t>Shyam</t>
  </si>
  <si>
    <t>dipak</t>
  </si>
  <si>
    <t>shubham</t>
  </si>
  <si>
    <t>manoj</t>
  </si>
  <si>
    <t>pavan</t>
  </si>
  <si>
    <t>shivraj</t>
  </si>
  <si>
    <t>yuvraj</t>
  </si>
  <si>
    <t>sarthak</t>
  </si>
  <si>
    <t>vaibhav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</si>
</sst>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4E]#,##0"/>
    <numFmt numFmtId="165" formatCode="[$₹-4009]\ 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10" fontId="0" fillId="0" borderId="0" xfId="0" applyNumberFormat="1"/>
    <xf numFmtId="0" fontId="0" fillId="0" borderId="0" xfId="0" applyNumberFormat="1"/>
    <xf numFmtId="0" fontId="2" fillId="0" borderId="0" xfId="0" applyFon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31 to 40.xlsx]Task39!PivotTable1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Task39!$Q$10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Task39!$P$11:$P$15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Task39!$Q$11:$Q$15</c:f>
              <c:numCache>
                <c:formatCode>0</c:formatCode>
                <c:ptCount val="4"/>
                <c:pt idx="0">
                  <c:v>1980000</c:v>
                </c:pt>
                <c:pt idx="1">
                  <c:v>2145000</c:v>
                </c:pt>
                <c:pt idx="2">
                  <c:v>2145000</c:v>
                </c:pt>
                <c:pt idx="3">
                  <c:v>1980000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87-405B-BD04-695E37B31C9F}"/>
            </c:ext>
          </c:extLst>
        </c:ser>
        <c:ser>
          <c:idx val="1"/>
          <c:order val="1"/>
          <c:tx>
            <c:strRef>
              <c:f>Task39!$R$10</c:f>
              <c:strCache>
                <c:ptCount val="1"/>
                <c:pt idx="0">
                  <c:v>Sum of Profit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Task39!$P$11:$P$15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Task39!$R$11:$R$15</c:f>
              <c:numCache>
                <c:formatCode>0</c:formatCode>
                <c:ptCount val="4"/>
                <c:pt idx="0">
                  <c:v>1684000</c:v>
                </c:pt>
                <c:pt idx="1">
                  <c:v>381000</c:v>
                </c:pt>
                <c:pt idx="2">
                  <c:v>1039000</c:v>
                </c:pt>
                <c:pt idx="3">
                  <c:v>155000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87-405B-BD04-695E37B31C9F}"/>
            </c:ext>
          </c:extLst>
        </c:ser>
        <c:ser>
          <c:idx val="2"/>
          <c:order val="2"/>
          <c:tx>
            <c:strRef>
              <c:f>Task39!$S$10</c:f>
              <c:strCache>
                <c:ptCount val="1"/>
                <c:pt idx="0">
                  <c:v>Average of Profit Percentage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Task39!$P$11:$P$15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Task39!$S$11:$S$15</c:f>
              <c:numCache>
                <c:formatCode>0.00%</c:formatCode>
                <c:ptCount val="4"/>
                <c:pt idx="0">
                  <c:v>0.85050505050505054</c:v>
                </c:pt>
                <c:pt idx="1">
                  <c:v>0.17762237762237762</c:v>
                </c:pt>
                <c:pt idx="2">
                  <c:v>0.48438228438228442</c:v>
                </c:pt>
                <c:pt idx="3">
                  <c:v>7.8282828282828301E-2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87-405B-BD04-695E37B31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2905352"/>
        <c:axId val="1902907400"/>
      </c:barChart>
      <c:catAx>
        <c:axId val="1902905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907400"/>
        <c:crosses val="autoZero"/>
        <c:auto val="1"/>
        <c:lblAlgn val="ctr"/>
        <c:lblOffset val="100"/>
        <c:noMultiLvlLbl val="0"/>
      </c:catAx>
      <c:valAx>
        <c:axId val="190290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905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66675</xdr:colOff>
      <xdr:row>6</xdr:row>
      <xdr:rowOff>152400</xdr:rowOff>
    </xdr:from>
    <xdr:to>
      <xdr:col>24</xdr:col>
      <xdr:colOff>285750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C847F-912C-316A-74EE-27A01F26B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3.745602893519" createdVersion="8" refreshedVersion="8" minRefreshableVersion="3" recordCount="50" xr:uid="{D7FEFF1A-4185-457B-9F46-3D67F3232B05}">
  <cacheSource type="worksheet">
    <worksheetSource ref="A3:K53" sheet="Task31"/>
  </cacheSource>
  <cacheFields count="11">
    <cacheField name="Order 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6-08-01T00:00:00" maxDate="2026-09-20T00:00:00"/>
    </cacheField>
    <cacheField name="Month" numFmtId="14">
      <sharedItems/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/>
    </cacheField>
    <cacheField name="Salesperson" numFmtId="0">
      <sharedItems/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165">
      <sharedItems containsSemiMixedTypes="0" containsString="0" containsNumber="1" containsInteger="1" minValue="165000" maxValue="165000"/>
    </cacheField>
    <cacheField name="target amount" numFmtId="164">
      <sharedItems containsSemiMixedTypes="0" containsString="0" containsNumber="1" containsInteger="1" minValue="30000" maxValue="200000"/>
    </cacheField>
    <cacheField name="Achievement" numFmtId="164">
      <sharedItems containsSemiMixedTypes="0" containsString="0" containsNumber="1" minValue="82.5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3.754383333333" createdVersion="8" refreshedVersion="8" minRefreshableVersion="3" recordCount="50" xr:uid="{D46C930B-B7CC-447F-A75A-0BDCF7DA1FCE}">
  <cacheSource type="worksheet">
    <worksheetSource ref="A3:K53" sheet="Task32"/>
  </cacheSource>
  <cacheFields count="11">
    <cacheField name="Order 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6-08-01T00:00:00" maxDate="2026-09-20T00:00:00"/>
    </cacheField>
    <cacheField name="Month" numFmtId="14">
      <sharedItems/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/>
    </cacheField>
    <cacheField name="Salesperson" numFmtId="0">
      <sharedItems count="4">
        <s v="Rahul"/>
        <s v="Priya"/>
        <s v="Amit"/>
        <s v="Sneha"/>
      </sharedItems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165">
      <sharedItems containsSemiMixedTypes="0" containsString="0" containsNumber="1" containsInteger="1" minValue="165000" maxValue="165000"/>
    </cacheField>
    <cacheField name="target amount" numFmtId="164">
      <sharedItems containsSemiMixedTypes="0" containsString="0" containsNumber="1" containsInteger="1" minValue="30000" maxValue="200000"/>
    </cacheField>
    <cacheField name="Achievement" numFmtId="164">
      <sharedItems containsSemiMixedTypes="0" containsString="0" containsNumber="1" minValue="82.5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3.777891898149" createdVersion="8" refreshedVersion="8" minRefreshableVersion="3" recordCount="50" xr:uid="{E11B016F-0F55-4081-AEF0-B7E8F1E97093}">
  <cacheSource type="worksheet">
    <worksheetSource ref="A3:K53" sheet="Task33"/>
  </cacheSource>
  <cacheFields count="11">
    <cacheField name="Order 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6-08-01T00:00:00" maxDate="2026-09-20T00:00:00"/>
    </cacheField>
    <cacheField name="Month" numFmtId="14">
      <sharedItems/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165">
      <sharedItems containsSemiMixedTypes="0" containsString="0" containsNumber="1" containsInteger="1" minValue="165000" maxValue="165000"/>
    </cacheField>
    <cacheField name="target amount" numFmtId="164">
      <sharedItems containsSemiMixedTypes="0" containsString="0" containsNumber="1" containsInteger="1" minValue="30000" maxValue="200000"/>
    </cacheField>
    <cacheField name="Achievement" numFmtId="164">
      <sharedItems containsSemiMixedTypes="0" containsString="0" containsNumber="1" minValue="82.5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3.786842361114" createdVersion="8" refreshedVersion="8" minRefreshableVersion="3" recordCount="50" xr:uid="{A8BABC61-C224-4925-813A-6C413C69FCF8}">
  <cacheSource type="worksheet">
    <worksheetSource ref="A3:K53" sheet="Task34"/>
  </cacheSource>
  <cacheFields count="11">
    <cacheField name="Order ID" numFmtId="0">
      <sharedItems containsSemiMixedTypes="0" containsString="0" containsNumber="1" containsInteger="1" minValue="1001" maxValue="1050" count="5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</sharedItems>
    </cacheField>
    <cacheField name="Date" numFmtId="14">
      <sharedItems containsSemiMixedTypes="0" containsNonDate="0" containsDate="1" containsString="0" minDate="2026-08-01T00:00:00" maxDate="2026-09-20T00:00:00"/>
    </cacheField>
    <cacheField name="Month" numFmtId="14">
      <sharedItems count="2">
        <s v="August"/>
        <s v="September"/>
      </sharedItems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/>
    </cacheField>
    <cacheField name="Salesperson" numFmtId="0">
      <sharedItems/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165">
      <sharedItems containsSemiMixedTypes="0" containsString="0" containsNumber="1" containsInteger="1" minValue="165000" maxValue="165000" count="1">
        <n v="165000"/>
      </sharedItems>
    </cacheField>
    <cacheField name="target amount" numFmtId="164">
      <sharedItems containsSemiMixedTypes="0" containsString="0" containsNumber="1" containsInteger="1" minValue="30000" maxValue="200000"/>
    </cacheField>
    <cacheField name="Achievement" numFmtId="164">
      <sharedItems containsSemiMixedTypes="0" containsString="0" containsNumber="1" minValue="82.5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3.79300474537" createdVersion="8" refreshedVersion="8" minRefreshableVersion="3" recordCount="50" xr:uid="{96EB844A-DFFF-454F-AB58-12D9C3BEB249}">
  <cacheSource type="worksheet">
    <worksheetSource ref="A3:K53" sheet="Task35"/>
  </cacheSource>
  <cacheFields count="11">
    <cacheField name="Order 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6-08-01T00:00:00" maxDate="2026-09-20T00:00:00"/>
    </cacheField>
    <cacheField name="Month" numFmtId="14">
      <sharedItems/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4">
        <s v="Rahul"/>
        <s v="Priya"/>
        <s v="Amit"/>
        <s v="Sneha"/>
      </sharedItems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165">
      <sharedItems containsSemiMixedTypes="0" containsString="0" containsNumber="1" containsInteger="1" minValue="165000" maxValue="165000"/>
    </cacheField>
    <cacheField name="target amount" numFmtId="164">
      <sharedItems containsSemiMixedTypes="0" containsString="0" containsNumber="1" containsInteger="1" minValue="30000" maxValue="200000"/>
    </cacheField>
    <cacheField name="Achievement" numFmtId="164">
      <sharedItems containsSemiMixedTypes="0" containsString="0" containsNumber="1" minValue="82.5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3.801333912037" createdVersion="8" refreshedVersion="8" minRefreshableVersion="3" recordCount="50" xr:uid="{AB71BC3C-CBBF-43BF-9029-B0689A35E784}">
  <cacheSource type="worksheet">
    <worksheetSource ref="A3:L53" sheet="Task36"/>
  </cacheSource>
  <cacheFields count="12">
    <cacheField name="Order ID" numFmtId="0">
      <sharedItems containsSemiMixedTypes="0" containsString="0" containsNumber="1" containsInteger="1" minValue="1001" maxValue="1050"/>
    </cacheField>
    <cacheField name="Customer" numFmtId="0">
      <sharedItems count="10">
        <s v="Arjun"/>
        <s v="Neha"/>
        <s v="Rohit"/>
        <s v="Pooja"/>
        <s v="Karan"/>
        <s v="Sneha"/>
        <s v="Akash"/>
        <s v="Priya"/>
        <s v="Rahul"/>
        <s v="Amit"/>
      </sharedItems>
    </cacheField>
    <cacheField name="Date" numFmtId="14">
      <sharedItems containsSemiMixedTypes="0" containsNonDate="0" containsDate="1" containsString="0" minDate="2026-08-01T00:00:00" maxDate="2026-09-20T00:00:00"/>
    </cacheField>
    <cacheField name="Month" numFmtId="14">
      <sharedItems/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165">
      <sharedItems containsSemiMixedTypes="0" containsString="0" containsNumber="1" containsInteger="1" minValue="165000" maxValue="165000"/>
    </cacheField>
    <cacheField name="target amount" numFmtId="164">
      <sharedItems containsSemiMixedTypes="0" containsString="0" containsNumber="1" containsInteger="1" minValue="30000" maxValue="200000"/>
    </cacheField>
    <cacheField name="Achievement" numFmtId="164">
      <sharedItems containsSemiMixedTypes="0" containsString="0" containsNumber="1" minValue="82.5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3.807669444446" createdVersion="8" refreshedVersion="8" minRefreshableVersion="3" recordCount="50" xr:uid="{E3CD2892-F3FD-4D2D-91E0-C7CDA0FDE128}">
  <cacheSource type="worksheet">
    <worksheetSource ref="A3:L53" sheet="Task37"/>
  </cacheSource>
  <cacheFields count="12">
    <cacheField name="Order ID" numFmtId="0">
      <sharedItems containsSemiMixedTypes="0" containsString="0" containsNumber="1" containsInteger="1" minValue="1001" maxValue="1050"/>
    </cacheField>
    <cacheField name="Customer" numFmtId="0">
      <sharedItems count="10">
        <s v="Arjun"/>
        <s v="Neha"/>
        <s v="Rohit"/>
        <s v="Pooja"/>
        <s v="Karan"/>
        <s v="Sneha"/>
        <s v="Akash"/>
        <s v="Priya"/>
        <s v="Rahul"/>
        <s v="Amit"/>
      </sharedItems>
    </cacheField>
    <cacheField name="Date" numFmtId="14">
      <sharedItems containsSemiMixedTypes="0" containsNonDate="0" containsDate="1" containsString="0" minDate="2026-08-01T00:00:00" maxDate="2026-09-20T00:00:00"/>
    </cacheField>
    <cacheField name="Month" numFmtId="14">
      <sharedItems/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165">
      <sharedItems containsSemiMixedTypes="0" containsString="0" containsNumber="1" containsInteger="1" minValue="165000" maxValue="165000"/>
    </cacheField>
    <cacheField name="target amount" numFmtId="164">
      <sharedItems containsSemiMixedTypes="0" containsString="0" containsNumber="1" containsInteger="1" minValue="30000" maxValue="200000"/>
    </cacheField>
    <cacheField name="Achievement" numFmtId="164">
      <sharedItems containsSemiMixedTypes="0" containsString="0" containsNumber="1" minValue="82.5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4.810982175928" createdVersion="8" refreshedVersion="8" minRefreshableVersion="3" recordCount="50" xr:uid="{7D90939E-BE6F-49D7-B5B6-54E295221AFC}">
  <cacheSource type="worksheet">
    <worksheetSource ref="A3:N53" sheet="Task38"/>
  </cacheSource>
  <cacheFields count="14">
    <cacheField name="Order 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6-08-01T00:00:00" maxDate="2026-09-20T00:00:00"/>
    </cacheField>
    <cacheField name="Month" numFmtId="14">
      <sharedItems/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/>
    </cacheField>
    <cacheField name="Salesperson" numFmtId="0">
      <sharedItems/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1">
      <sharedItems containsSemiMixedTypes="0" containsString="0" containsNumber="1" containsInteger="1" minValue="165000" maxValue="165000"/>
    </cacheField>
    <cacheField name="Cost" numFmtId="1">
      <sharedItems containsSemiMixedTypes="0" containsString="0" containsNumber="1" containsInteger="1" minValue="2000" maxValue="42000"/>
    </cacheField>
    <cacheField name="Profit " numFmtId="1">
      <sharedItems containsSemiMixedTypes="0" containsString="0" containsNumber="1" containsInteger="1" minValue="-60000" maxValue="149000"/>
    </cacheField>
    <cacheField name="target amount" numFmtId="164">
      <sharedItems containsSemiMixedTypes="0" containsString="0" containsNumber="1" containsInteger="1" minValue="30000" maxValue="200000"/>
    </cacheField>
    <cacheField name="Achievement" numFmtId="164">
      <sharedItems containsSemiMixedTypes="0" containsString="0" containsNumber="1" minValue="82.5" maxValue="550"/>
    </cacheField>
    <cacheField name="Profit Percentage" numFmtId="10">
      <sharedItems containsSemiMixedTypes="0" containsString="0" containsNumber="1" minValue="-0.36363636363636365" maxValue="0.90303030303030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4.970369444447" createdVersion="8" refreshedVersion="8" minRefreshableVersion="3" recordCount="50" xr:uid="{60FCCA3B-3E58-430B-84BA-BA7B4368734E}">
  <cacheSource type="worksheet">
    <worksheetSource ref="A3:N53" sheet="Task39"/>
  </cacheSource>
  <cacheFields count="14">
    <cacheField name="Order 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6-08-01T00:00:00" maxDate="2026-09-20T00:00:00"/>
    </cacheField>
    <cacheField name="Month" numFmtId="14">
      <sharedItems/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4">
        <s v="Rahul"/>
        <s v="Priya"/>
        <s v="Amit"/>
        <s v="Sneha"/>
      </sharedItems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1">
      <sharedItems containsSemiMixedTypes="0" containsString="0" containsNumber="1" containsInteger="1" minValue="165000" maxValue="165000"/>
    </cacheField>
    <cacheField name="Cost" numFmtId="1">
      <sharedItems containsSemiMixedTypes="0" containsString="0" containsNumber="1" containsInteger="1" minValue="2000" maxValue="42000"/>
    </cacheField>
    <cacheField name="Profit " numFmtId="1">
      <sharedItems containsSemiMixedTypes="0" containsString="0" containsNumber="1" containsInteger="1" minValue="-60000" maxValue="149000"/>
    </cacheField>
    <cacheField name="target amount" numFmtId="164">
      <sharedItems containsSemiMixedTypes="0" containsString="0" containsNumber="1" containsInteger="1" minValue="30000" maxValue="200000"/>
    </cacheField>
    <cacheField name="Achievement" numFmtId="164">
      <sharedItems containsSemiMixedTypes="0" containsString="0" containsNumber="1" minValue="82.5" maxValue="550"/>
    </cacheField>
    <cacheField name="Profit Percentage" numFmtId="10">
      <sharedItems containsSemiMixedTypes="0" containsString="0" containsNumber="1" minValue="-0.36363636363636365" maxValue="0.90303030303030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4.97955729167" createdVersion="8" refreshedVersion="8" minRefreshableVersion="3" recordCount="50" xr:uid="{3A6F9EB3-DDBB-49A9-A094-B80DE7B888D3}">
  <cacheSource type="worksheet">
    <worksheetSource ref="A3:O53" sheet="Task40"/>
  </cacheSource>
  <cacheFields count="15">
    <cacheField name="Order 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6-08-01T00:00:00" maxDate="2026-09-20T00:00:00"/>
    </cacheField>
    <cacheField name="customer" numFmtId="14">
      <sharedItems count="10">
        <s v="Ram"/>
        <s v="Shyam"/>
        <s v="dipak"/>
        <s v="shubham"/>
        <s v="pavan"/>
        <s v="shivraj"/>
        <s v="yuvraj"/>
        <s v="vaibhav"/>
        <s v="sarthak"/>
        <s v="manoj"/>
      </sharedItems>
    </cacheField>
    <cacheField name="Month" numFmtId="14">
      <sharedItems/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1">
      <sharedItems containsSemiMixedTypes="0" containsString="0" containsNumber="1" containsInteger="1" minValue="165000" maxValue="165000"/>
    </cacheField>
    <cacheField name="Cost" numFmtId="1">
      <sharedItems containsSemiMixedTypes="0" containsString="0" containsNumber="1" containsInteger="1" minValue="2000" maxValue="42000"/>
    </cacheField>
    <cacheField name="Profit " numFmtId="1">
      <sharedItems containsSemiMixedTypes="0" containsString="0" containsNumber="1" containsInteger="1" minValue="-60000" maxValue="149000"/>
    </cacheField>
    <cacheField name="target amount" numFmtId="164">
      <sharedItems containsSemiMixedTypes="0" containsString="0" containsNumber="1" containsInteger="1" minValue="30000" maxValue="200000"/>
    </cacheField>
    <cacheField name="Achievement" numFmtId="164">
      <sharedItems containsSemiMixedTypes="0" containsString="0" containsNumber="1" minValue="82.5" maxValue="550"/>
    </cacheField>
    <cacheField name="Profit Percentage" numFmtId="10">
      <sharedItems containsSemiMixedTypes="0" containsString="0" containsNumber="1" minValue="-0.36363636363636365" maxValue="0.90303030303030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6-08-01T00:00:00"/>
    <s v="August"/>
    <x v="0"/>
    <s v="North"/>
    <s v="Rahul"/>
    <n v="3"/>
    <n v="55000"/>
    <n v="165000"/>
    <n v="200000"/>
    <n v="82.5"/>
  </r>
  <r>
    <n v="1002"/>
    <d v="2026-08-02T00:00:00"/>
    <s v="August"/>
    <x v="1"/>
    <s v="South"/>
    <s v="Priya"/>
    <n v="5"/>
    <n v="22000"/>
    <n v="165000"/>
    <n v="150000"/>
    <n v="110.00000000000001"/>
  </r>
  <r>
    <n v="1003"/>
    <d v="2026-08-03T00:00:00"/>
    <s v="August"/>
    <x v="2"/>
    <s v="East"/>
    <s v="Amit"/>
    <n v="4"/>
    <n v="18000"/>
    <n v="165000"/>
    <n v="100000"/>
    <n v="165"/>
  </r>
  <r>
    <n v="1004"/>
    <d v="2026-08-04T00:00:00"/>
    <s v="August"/>
    <x v="3"/>
    <s v="West"/>
    <s v="Sneha"/>
    <n v="8"/>
    <n v="2500"/>
    <n v="165000"/>
    <n v="30000"/>
    <n v="550"/>
  </r>
  <r>
    <n v="1005"/>
    <d v="2026-08-05T00:00:00"/>
    <s v="August"/>
    <x v="0"/>
    <s v="South"/>
    <s v="Rahul"/>
    <n v="2"/>
    <n v="55000"/>
    <n v="165000"/>
    <n v="200000"/>
    <n v="82.5"/>
  </r>
  <r>
    <n v="1006"/>
    <d v="2026-08-06T00:00:00"/>
    <s v="August"/>
    <x v="1"/>
    <s v="North"/>
    <s v="Amit"/>
    <n v="7"/>
    <n v="22000"/>
    <n v="165000"/>
    <n v="150000"/>
    <n v="110.00000000000001"/>
  </r>
  <r>
    <n v="1007"/>
    <d v="2026-08-07T00:00:00"/>
    <s v="August"/>
    <x v="2"/>
    <s v="West"/>
    <s v="Priya"/>
    <n v="6"/>
    <n v="18000"/>
    <n v="165000"/>
    <n v="100000"/>
    <n v="165"/>
  </r>
  <r>
    <n v="1008"/>
    <d v="2026-08-08T00:00:00"/>
    <s v="August"/>
    <x v="3"/>
    <s v="East"/>
    <s v="Sneha"/>
    <n v="10"/>
    <n v="2500"/>
    <n v="165000"/>
    <n v="30000"/>
    <n v="550"/>
  </r>
  <r>
    <n v="1009"/>
    <d v="2026-08-09T00:00:00"/>
    <s v="August"/>
    <x v="0"/>
    <s v="East"/>
    <s v="Amit"/>
    <n v="4"/>
    <n v="55000"/>
    <n v="165000"/>
    <n v="200000"/>
    <n v="82.5"/>
  </r>
  <r>
    <n v="1010"/>
    <d v="2026-08-10T00:00:00"/>
    <s v="August"/>
    <x v="1"/>
    <s v="West"/>
    <s v="Rahul"/>
    <n v="3"/>
    <n v="22000"/>
    <n v="165000"/>
    <n v="150000"/>
    <n v="110.00000000000001"/>
  </r>
  <r>
    <n v="1011"/>
    <d v="2026-08-11T00:00:00"/>
    <s v="August"/>
    <x v="2"/>
    <s v="North"/>
    <s v="Sneha"/>
    <n v="5"/>
    <n v="18000"/>
    <n v="165000"/>
    <n v="100000"/>
    <n v="165"/>
  </r>
  <r>
    <n v="1012"/>
    <d v="2026-08-12T00:00:00"/>
    <s v="August"/>
    <x v="3"/>
    <s v="South"/>
    <s v="Priya"/>
    <n v="12"/>
    <n v="2500"/>
    <n v="165000"/>
    <n v="30000"/>
    <n v="550"/>
  </r>
  <r>
    <n v="1013"/>
    <d v="2026-08-13T00:00:00"/>
    <s v="August"/>
    <x v="0"/>
    <s v="West"/>
    <s v="Priya"/>
    <n v="2"/>
    <n v="55000"/>
    <n v="165000"/>
    <n v="200000"/>
    <n v="82.5"/>
  </r>
  <r>
    <n v="1014"/>
    <d v="2026-08-14T00:00:00"/>
    <s v="August"/>
    <x v="1"/>
    <s v="East"/>
    <s v="Sneha"/>
    <n v="6"/>
    <n v="22000"/>
    <n v="165000"/>
    <n v="150000"/>
    <n v="110.00000000000001"/>
  </r>
  <r>
    <n v="1015"/>
    <d v="2026-08-15T00:00:00"/>
    <s v="August"/>
    <x v="2"/>
    <s v="South"/>
    <s v="Rahul"/>
    <n v="7"/>
    <n v="18000"/>
    <n v="165000"/>
    <n v="100000"/>
    <n v="165"/>
  </r>
  <r>
    <n v="1016"/>
    <d v="2026-08-16T00:00:00"/>
    <s v="August"/>
    <x v="3"/>
    <s v="North"/>
    <s v="Amit"/>
    <n v="9"/>
    <n v="2500"/>
    <n v="165000"/>
    <n v="30000"/>
    <n v="550"/>
  </r>
  <r>
    <n v="1017"/>
    <d v="2026-08-17T00:00:00"/>
    <s v="August"/>
    <x v="0"/>
    <s v="North"/>
    <s v="Sneha"/>
    <n v="5"/>
    <n v="55000"/>
    <n v="165000"/>
    <n v="200000"/>
    <n v="82.5"/>
  </r>
  <r>
    <n v="1018"/>
    <d v="2026-08-18T00:00:00"/>
    <s v="August"/>
    <x v="1"/>
    <s v="South"/>
    <s v="Amit"/>
    <n v="4"/>
    <n v="22000"/>
    <n v="165000"/>
    <n v="150000"/>
    <n v="110.00000000000001"/>
  </r>
  <r>
    <n v="1019"/>
    <d v="2026-08-19T00:00:00"/>
    <s v="August"/>
    <x v="2"/>
    <s v="East"/>
    <s v="Rahul"/>
    <n v="8"/>
    <n v="18000"/>
    <n v="165000"/>
    <n v="100000"/>
    <n v="165"/>
  </r>
  <r>
    <n v="1020"/>
    <d v="2026-08-20T00:00:00"/>
    <s v="August"/>
    <x v="3"/>
    <s v="West"/>
    <s v="Priya"/>
    <n v="15"/>
    <n v="2500"/>
    <n v="165000"/>
    <n v="30000"/>
    <n v="550"/>
  </r>
  <r>
    <n v="1021"/>
    <d v="2026-08-21T00:00:00"/>
    <s v="August"/>
    <x v="0"/>
    <s v="South"/>
    <s v="Amit"/>
    <n v="3"/>
    <n v="55000"/>
    <n v="165000"/>
    <n v="200000"/>
    <n v="82.5"/>
  </r>
  <r>
    <n v="1022"/>
    <d v="2026-08-22T00:00:00"/>
    <s v="August"/>
    <x v="1"/>
    <s v="North"/>
    <s v="Priya"/>
    <n v="8"/>
    <n v="22000"/>
    <n v="165000"/>
    <n v="150000"/>
    <n v="110.00000000000001"/>
  </r>
  <r>
    <n v="1023"/>
    <d v="2026-08-23T00:00:00"/>
    <s v="August"/>
    <x v="2"/>
    <s v="West"/>
    <s v="Sneha"/>
    <n v="4"/>
    <n v="18000"/>
    <n v="165000"/>
    <n v="100000"/>
    <n v="165"/>
  </r>
  <r>
    <n v="1024"/>
    <d v="2026-08-24T00:00:00"/>
    <s v="August"/>
    <x v="3"/>
    <s v="East"/>
    <s v="Rahul"/>
    <n v="11"/>
    <n v="2500"/>
    <n v="165000"/>
    <n v="30000"/>
    <n v="550"/>
  </r>
  <r>
    <n v="1025"/>
    <d v="2026-08-25T00:00:00"/>
    <s v="August"/>
    <x v="0"/>
    <s v="East"/>
    <s v="Priya"/>
    <n v="2"/>
    <n v="55000"/>
    <n v="165000"/>
    <n v="200000"/>
    <n v="82.5"/>
  </r>
  <r>
    <n v="1026"/>
    <d v="2026-08-26T00:00:00"/>
    <s v="August"/>
    <x v="1"/>
    <s v="West"/>
    <s v="Amit"/>
    <n v="5"/>
    <n v="22000"/>
    <n v="165000"/>
    <n v="150000"/>
    <n v="110.00000000000001"/>
  </r>
  <r>
    <n v="1027"/>
    <d v="2026-08-27T00:00:00"/>
    <s v="August"/>
    <x v="2"/>
    <s v="North"/>
    <s v="Rahul"/>
    <n v="6"/>
    <n v="18000"/>
    <n v="165000"/>
    <n v="100000"/>
    <n v="165"/>
  </r>
  <r>
    <n v="1028"/>
    <d v="2026-08-28T00:00:00"/>
    <s v="August"/>
    <x v="3"/>
    <s v="South"/>
    <s v="Sneha"/>
    <n v="14"/>
    <n v="2500"/>
    <n v="165000"/>
    <n v="30000"/>
    <n v="550"/>
  </r>
  <r>
    <n v="1029"/>
    <d v="2026-08-29T00:00:00"/>
    <s v="August"/>
    <x v="0"/>
    <s v="West"/>
    <s v="Sneha"/>
    <n v="4"/>
    <n v="55000"/>
    <n v="165000"/>
    <n v="200000"/>
    <n v="82.5"/>
  </r>
  <r>
    <n v="1030"/>
    <d v="2026-08-30T00:00:00"/>
    <s v="August"/>
    <x v="1"/>
    <s v="East"/>
    <s v="Rahul"/>
    <n v="7"/>
    <n v="22000"/>
    <n v="165000"/>
    <n v="150000"/>
    <n v="110.00000000000001"/>
  </r>
  <r>
    <n v="1031"/>
    <d v="2026-08-31T00:00:00"/>
    <s v="August"/>
    <x v="2"/>
    <s v="South"/>
    <s v="Priya"/>
    <n v="5"/>
    <n v="18000"/>
    <n v="165000"/>
    <n v="100000"/>
    <n v="165"/>
  </r>
  <r>
    <n v="1032"/>
    <d v="2026-09-01T00:00:00"/>
    <s v="September"/>
    <x v="3"/>
    <s v="North"/>
    <s v="Amit"/>
    <n v="13"/>
    <n v="2500"/>
    <n v="165000"/>
    <n v="30000"/>
    <n v="550"/>
  </r>
  <r>
    <n v="1033"/>
    <d v="2026-09-02T00:00:00"/>
    <s v="September"/>
    <x v="0"/>
    <s v="North"/>
    <s v="Priya"/>
    <n v="3"/>
    <n v="55000"/>
    <n v="165000"/>
    <n v="200000"/>
    <n v="82.5"/>
  </r>
  <r>
    <n v="1034"/>
    <d v="2026-09-03T00:00:00"/>
    <s v="September"/>
    <x v="1"/>
    <s v="South"/>
    <s v="Sneha"/>
    <n v="6"/>
    <n v="22000"/>
    <n v="165000"/>
    <n v="150000"/>
    <n v="110.00000000000001"/>
  </r>
  <r>
    <n v="1035"/>
    <d v="2026-09-04T00:00:00"/>
    <s v="September"/>
    <x v="2"/>
    <s v="East"/>
    <s v="Amit"/>
    <n v="9"/>
    <n v="18000"/>
    <n v="165000"/>
    <n v="100000"/>
    <n v="165"/>
  </r>
  <r>
    <n v="1036"/>
    <d v="2026-09-05T00:00:00"/>
    <s v="September"/>
    <x v="3"/>
    <s v="West"/>
    <s v="Rahul"/>
    <n v="16"/>
    <n v="2500"/>
    <n v="165000"/>
    <n v="30000"/>
    <n v="550"/>
  </r>
  <r>
    <n v="1037"/>
    <d v="2026-09-06T00:00:00"/>
    <s v="September"/>
    <x v="0"/>
    <s v="South"/>
    <s v="Sneha"/>
    <n v="2"/>
    <n v="55000"/>
    <n v="165000"/>
    <n v="200000"/>
    <n v="82.5"/>
  </r>
  <r>
    <n v="1038"/>
    <d v="2026-09-07T00:00:00"/>
    <s v="September"/>
    <x v="1"/>
    <s v="North"/>
    <s v="Rahul"/>
    <n v="9"/>
    <n v="22000"/>
    <n v="165000"/>
    <n v="150000"/>
    <n v="110.00000000000001"/>
  </r>
  <r>
    <n v="1039"/>
    <d v="2026-09-08T00:00:00"/>
    <s v="September"/>
    <x v="2"/>
    <s v="West"/>
    <s v="Amit"/>
    <n v="6"/>
    <n v="18000"/>
    <n v="165000"/>
    <n v="100000"/>
    <n v="165"/>
  </r>
  <r>
    <n v="1040"/>
    <d v="2026-09-09T00:00:00"/>
    <s v="September"/>
    <x v="3"/>
    <s v="East"/>
    <s v="Priya"/>
    <n v="12"/>
    <n v="2500"/>
    <n v="165000"/>
    <n v="30000"/>
    <n v="550"/>
  </r>
  <r>
    <n v="1041"/>
    <d v="2026-09-10T00:00:00"/>
    <s v="September"/>
    <x v="0"/>
    <s v="East"/>
    <s v="Rahul"/>
    <n v="5"/>
    <n v="55000"/>
    <n v="165000"/>
    <n v="200000"/>
    <n v="82.5"/>
  </r>
  <r>
    <n v="1042"/>
    <d v="2026-09-11T00:00:00"/>
    <s v="September"/>
    <x v="1"/>
    <s v="West"/>
    <s v="Priya"/>
    <n v="4"/>
    <n v="22000"/>
    <n v="165000"/>
    <n v="150000"/>
    <n v="110.00000000000001"/>
  </r>
  <r>
    <n v="1043"/>
    <d v="2026-09-12T00:00:00"/>
    <s v="September"/>
    <x v="2"/>
    <s v="North"/>
    <s v="Sneha"/>
    <n v="7"/>
    <n v="18000"/>
    <n v="165000"/>
    <n v="100000"/>
    <n v="165"/>
  </r>
  <r>
    <n v="1044"/>
    <d v="2026-09-13T00:00:00"/>
    <s v="September"/>
    <x v="3"/>
    <s v="South"/>
    <s v="Amit"/>
    <n v="18"/>
    <n v="2500"/>
    <n v="165000"/>
    <n v="30000"/>
    <n v="550"/>
  </r>
  <r>
    <n v="1045"/>
    <d v="2026-09-14T00:00:00"/>
    <s v="September"/>
    <x v="0"/>
    <s v="West"/>
    <s v="Amit"/>
    <n v="3"/>
    <n v="55000"/>
    <n v="165000"/>
    <n v="200000"/>
    <n v="82.5"/>
  </r>
  <r>
    <n v="1046"/>
    <d v="2026-09-15T00:00:00"/>
    <s v="September"/>
    <x v="1"/>
    <s v="East"/>
    <s v="Sneha"/>
    <n v="8"/>
    <n v="22000"/>
    <n v="165000"/>
    <n v="150000"/>
    <n v="110.00000000000001"/>
  </r>
  <r>
    <n v="1047"/>
    <d v="2026-09-16T00:00:00"/>
    <s v="September"/>
    <x v="2"/>
    <s v="South"/>
    <s v="Rahul"/>
    <n v="6"/>
    <n v="18000"/>
    <n v="165000"/>
    <n v="100000"/>
    <n v="165"/>
  </r>
  <r>
    <n v="1048"/>
    <d v="2026-09-17T00:00:00"/>
    <s v="September"/>
    <x v="3"/>
    <s v="North"/>
    <s v="Priya"/>
    <n v="10"/>
    <n v="2500"/>
    <n v="165000"/>
    <n v="30000"/>
    <n v="550"/>
  </r>
  <r>
    <n v="1049"/>
    <d v="2026-09-18T00:00:00"/>
    <s v="September"/>
    <x v="0"/>
    <s v="North"/>
    <s v="Amit"/>
    <n v="4"/>
    <n v="55000"/>
    <n v="165000"/>
    <n v="200000"/>
    <n v="82.5"/>
  </r>
  <r>
    <n v="1050"/>
    <d v="2026-09-19T00:00:00"/>
    <s v="September"/>
    <x v="1"/>
    <s v="South"/>
    <s v="Rahul"/>
    <n v="7"/>
    <n v="22000"/>
    <n v="165000"/>
    <n v="150000"/>
    <n v="110.00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6-08-01T00:00:00"/>
    <s v="August"/>
    <x v="0"/>
    <s v="North"/>
    <x v="0"/>
    <n v="3"/>
    <n v="55000"/>
    <n v="165000"/>
    <n v="200000"/>
    <n v="82.5"/>
  </r>
  <r>
    <n v="1002"/>
    <d v="2026-08-02T00:00:00"/>
    <s v="August"/>
    <x v="1"/>
    <s v="South"/>
    <x v="1"/>
    <n v="5"/>
    <n v="22000"/>
    <n v="165000"/>
    <n v="150000"/>
    <n v="110.00000000000001"/>
  </r>
  <r>
    <n v="1003"/>
    <d v="2026-08-03T00:00:00"/>
    <s v="August"/>
    <x v="2"/>
    <s v="East"/>
    <x v="2"/>
    <n v="4"/>
    <n v="18000"/>
    <n v="165000"/>
    <n v="100000"/>
    <n v="165"/>
  </r>
  <r>
    <n v="1004"/>
    <d v="2026-08-04T00:00:00"/>
    <s v="August"/>
    <x v="3"/>
    <s v="West"/>
    <x v="3"/>
    <n v="8"/>
    <n v="2500"/>
    <n v="165000"/>
    <n v="30000"/>
    <n v="550"/>
  </r>
  <r>
    <n v="1005"/>
    <d v="2026-08-05T00:00:00"/>
    <s v="August"/>
    <x v="0"/>
    <s v="South"/>
    <x v="0"/>
    <n v="2"/>
    <n v="55000"/>
    <n v="165000"/>
    <n v="200000"/>
    <n v="82.5"/>
  </r>
  <r>
    <n v="1006"/>
    <d v="2026-08-06T00:00:00"/>
    <s v="August"/>
    <x v="1"/>
    <s v="North"/>
    <x v="2"/>
    <n v="7"/>
    <n v="22000"/>
    <n v="165000"/>
    <n v="150000"/>
    <n v="110.00000000000001"/>
  </r>
  <r>
    <n v="1007"/>
    <d v="2026-08-07T00:00:00"/>
    <s v="August"/>
    <x v="2"/>
    <s v="West"/>
    <x v="1"/>
    <n v="6"/>
    <n v="18000"/>
    <n v="165000"/>
    <n v="100000"/>
    <n v="165"/>
  </r>
  <r>
    <n v="1008"/>
    <d v="2026-08-08T00:00:00"/>
    <s v="August"/>
    <x v="3"/>
    <s v="East"/>
    <x v="3"/>
    <n v="10"/>
    <n v="2500"/>
    <n v="165000"/>
    <n v="30000"/>
    <n v="550"/>
  </r>
  <r>
    <n v="1009"/>
    <d v="2026-08-09T00:00:00"/>
    <s v="August"/>
    <x v="0"/>
    <s v="East"/>
    <x v="2"/>
    <n v="4"/>
    <n v="55000"/>
    <n v="165000"/>
    <n v="200000"/>
    <n v="82.5"/>
  </r>
  <r>
    <n v="1010"/>
    <d v="2026-08-10T00:00:00"/>
    <s v="August"/>
    <x v="1"/>
    <s v="West"/>
    <x v="0"/>
    <n v="3"/>
    <n v="22000"/>
    <n v="165000"/>
    <n v="150000"/>
    <n v="110.00000000000001"/>
  </r>
  <r>
    <n v="1011"/>
    <d v="2026-08-11T00:00:00"/>
    <s v="August"/>
    <x v="2"/>
    <s v="North"/>
    <x v="3"/>
    <n v="5"/>
    <n v="18000"/>
    <n v="165000"/>
    <n v="100000"/>
    <n v="165"/>
  </r>
  <r>
    <n v="1012"/>
    <d v="2026-08-12T00:00:00"/>
    <s v="August"/>
    <x v="3"/>
    <s v="South"/>
    <x v="1"/>
    <n v="12"/>
    <n v="2500"/>
    <n v="165000"/>
    <n v="30000"/>
    <n v="550"/>
  </r>
  <r>
    <n v="1013"/>
    <d v="2026-08-13T00:00:00"/>
    <s v="August"/>
    <x v="0"/>
    <s v="West"/>
    <x v="1"/>
    <n v="2"/>
    <n v="55000"/>
    <n v="165000"/>
    <n v="200000"/>
    <n v="82.5"/>
  </r>
  <r>
    <n v="1014"/>
    <d v="2026-08-14T00:00:00"/>
    <s v="August"/>
    <x v="1"/>
    <s v="East"/>
    <x v="3"/>
    <n v="6"/>
    <n v="22000"/>
    <n v="165000"/>
    <n v="150000"/>
    <n v="110.00000000000001"/>
  </r>
  <r>
    <n v="1015"/>
    <d v="2026-08-15T00:00:00"/>
    <s v="August"/>
    <x v="2"/>
    <s v="South"/>
    <x v="0"/>
    <n v="7"/>
    <n v="18000"/>
    <n v="165000"/>
    <n v="100000"/>
    <n v="165"/>
  </r>
  <r>
    <n v="1016"/>
    <d v="2026-08-16T00:00:00"/>
    <s v="August"/>
    <x v="3"/>
    <s v="North"/>
    <x v="2"/>
    <n v="9"/>
    <n v="2500"/>
    <n v="165000"/>
    <n v="30000"/>
    <n v="550"/>
  </r>
  <r>
    <n v="1017"/>
    <d v="2026-08-17T00:00:00"/>
    <s v="August"/>
    <x v="0"/>
    <s v="North"/>
    <x v="3"/>
    <n v="5"/>
    <n v="55000"/>
    <n v="165000"/>
    <n v="200000"/>
    <n v="82.5"/>
  </r>
  <r>
    <n v="1018"/>
    <d v="2026-08-18T00:00:00"/>
    <s v="August"/>
    <x v="1"/>
    <s v="South"/>
    <x v="2"/>
    <n v="4"/>
    <n v="22000"/>
    <n v="165000"/>
    <n v="150000"/>
    <n v="110.00000000000001"/>
  </r>
  <r>
    <n v="1019"/>
    <d v="2026-08-19T00:00:00"/>
    <s v="August"/>
    <x v="2"/>
    <s v="East"/>
    <x v="0"/>
    <n v="8"/>
    <n v="18000"/>
    <n v="165000"/>
    <n v="100000"/>
    <n v="165"/>
  </r>
  <r>
    <n v="1020"/>
    <d v="2026-08-20T00:00:00"/>
    <s v="August"/>
    <x v="3"/>
    <s v="West"/>
    <x v="1"/>
    <n v="15"/>
    <n v="2500"/>
    <n v="165000"/>
    <n v="30000"/>
    <n v="550"/>
  </r>
  <r>
    <n v="1021"/>
    <d v="2026-08-21T00:00:00"/>
    <s v="August"/>
    <x v="0"/>
    <s v="South"/>
    <x v="2"/>
    <n v="3"/>
    <n v="55000"/>
    <n v="165000"/>
    <n v="200000"/>
    <n v="82.5"/>
  </r>
  <r>
    <n v="1022"/>
    <d v="2026-08-22T00:00:00"/>
    <s v="August"/>
    <x v="1"/>
    <s v="North"/>
    <x v="1"/>
    <n v="8"/>
    <n v="22000"/>
    <n v="165000"/>
    <n v="150000"/>
    <n v="110.00000000000001"/>
  </r>
  <r>
    <n v="1023"/>
    <d v="2026-08-23T00:00:00"/>
    <s v="August"/>
    <x v="2"/>
    <s v="West"/>
    <x v="3"/>
    <n v="4"/>
    <n v="18000"/>
    <n v="165000"/>
    <n v="100000"/>
    <n v="165"/>
  </r>
  <r>
    <n v="1024"/>
    <d v="2026-08-24T00:00:00"/>
    <s v="August"/>
    <x v="3"/>
    <s v="East"/>
    <x v="0"/>
    <n v="11"/>
    <n v="2500"/>
    <n v="165000"/>
    <n v="30000"/>
    <n v="550"/>
  </r>
  <r>
    <n v="1025"/>
    <d v="2026-08-25T00:00:00"/>
    <s v="August"/>
    <x v="0"/>
    <s v="East"/>
    <x v="1"/>
    <n v="2"/>
    <n v="55000"/>
    <n v="165000"/>
    <n v="200000"/>
    <n v="82.5"/>
  </r>
  <r>
    <n v="1026"/>
    <d v="2026-08-26T00:00:00"/>
    <s v="August"/>
    <x v="1"/>
    <s v="West"/>
    <x v="2"/>
    <n v="5"/>
    <n v="22000"/>
    <n v="165000"/>
    <n v="150000"/>
    <n v="110.00000000000001"/>
  </r>
  <r>
    <n v="1027"/>
    <d v="2026-08-27T00:00:00"/>
    <s v="August"/>
    <x v="2"/>
    <s v="North"/>
    <x v="0"/>
    <n v="6"/>
    <n v="18000"/>
    <n v="165000"/>
    <n v="100000"/>
    <n v="165"/>
  </r>
  <r>
    <n v="1028"/>
    <d v="2026-08-28T00:00:00"/>
    <s v="August"/>
    <x v="3"/>
    <s v="South"/>
    <x v="3"/>
    <n v="14"/>
    <n v="2500"/>
    <n v="165000"/>
    <n v="30000"/>
    <n v="550"/>
  </r>
  <r>
    <n v="1029"/>
    <d v="2026-08-29T00:00:00"/>
    <s v="August"/>
    <x v="0"/>
    <s v="West"/>
    <x v="3"/>
    <n v="4"/>
    <n v="55000"/>
    <n v="165000"/>
    <n v="200000"/>
    <n v="82.5"/>
  </r>
  <r>
    <n v="1030"/>
    <d v="2026-08-30T00:00:00"/>
    <s v="August"/>
    <x v="1"/>
    <s v="East"/>
    <x v="0"/>
    <n v="7"/>
    <n v="22000"/>
    <n v="165000"/>
    <n v="150000"/>
    <n v="110.00000000000001"/>
  </r>
  <r>
    <n v="1031"/>
    <d v="2026-08-31T00:00:00"/>
    <s v="August"/>
    <x v="2"/>
    <s v="South"/>
    <x v="1"/>
    <n v="5"/>
    <n v="18000"/>
    <n v="165000"/>
    <n v="100000"/>
    <n v="165"/>
  </r>
  <r>
    <n v="1032"/>
    <d v="2026-09-01T00:00:00"/>
    <s v="September"/>
    <x v="3"/>
    <s v="North"/>
    <x v="2"/>
    <n v="13"/>
    <n v="2500"/>
    <n v="165000"/>
    <n v="30000"/>
    <n v="550"/>
  </r>
  <r>
    <n v="1033"/>
    <d v="2026-09-02T00:00:00"/>
    <s v="September"/>
    <x v="0"/>
    <s v="North"/>
    <x v="1"/>
    <n v="3"/>
    <n v="55000"/>
    <n v="165000"/>
    <n v="200000"/>
    <n v="82.5"/>
  </r>
  <r>
    <n v="1034"/>
    <d v="2026-09-03T00:00:00"/>
    <s v="September"/>
    <x v="1"/>
    <s v="South"/>
    <x v="3"/>
    <n v="6"/>
    <n v="22000"/>
    <n v="165000"/>
    <n v="150000"/>
    <n v="110.00000000000001"/>
  </r>
  <r>
    <n v="1035"/>
    <d v="2026-09-04T00:00:00"/>
    <s v="September"/>
    <x v="2"/>
    <s v="East"/>
    <x v="2"/>
    <n v="9"/>
    <n v="18000"/>
    <n v="165000"/>
    <n v="100000"/>
    <n v="165"/>
  </r>
  <r>
    <n v="1036"/>
    <d v="2026-09-05T00:00:00"/>
    <s v="September"/>
    <x v="3"/>
    <s v="West"/>
    <x v="0"/>
    <n v="16"/>
    <n v="2500"/>
    <n v="165000"/>
    <n v="30000"/>
    <n v="550"/>
  </r>
  <r>
    <n v="1037"/>
    <d v="2026-09-06T00:00:00"/>
    <s v="September"/>
    <x v="0"/>
    <s v="South"/>
    <x v="3"/>
    <n v="2"/>
    <n v="55000"/>
    <n v="165000"/>
    <n v="200000"/>
    <n v="82.5"/>
  </r>
  <r>
    <n v="1038"/>
    <d v="2026-09-07T00:00:00"/>
    <s v="September"/>
    <x v="1"/>
    <s v="North"/>
    <x v="0"/>
    <n v="9"/>
    <n v="22000"/>
    <n v="165000"/>
    <n v="150000"/>
    <n v="110.00000000000001"/>
  </r>
  <r>
    <n v="1039"/>
    <d v="2026-09-08T00:00:00"/>
    <s v="September"/>
    <x v="2"/>
    <s v="West"/>
    <x v="2"/>
    <n v="6"/>
    <n v="18000"/>
    <n v="165000"/>
    <n v="100000"/>
    <n v="165"/>
  </r>
  <r>
    <n v="1040"/>
    <d v="2026-09-09T00:00:00"/>
    <s v="September"/>
    <x v="3"/>
    <s v="East"/>
    <x v="1"/>
    <n v="12"/>
    <n v="2500"/>
    <n v="165000"/>
    <n v="30000"/>
    <n v="550"/>
  </r>
  <r>
    <n v="1041"/>
    <d v="2026-09-10T00:00:00"/>
    <s v="September"/>
    <x v="0"/>
    <s v="East"/>
    <x v="0"/>
    <n v="5"/>
    <n v="55000"/>
    <n v="165000"/>
    <n v="200000"/>
    <n v="82.5"/>
  </r>
  <r>
    <n v="1042"/>
    <d v="2026-09-11T00:00:00"/>
    <s v="September"/>
    <x v="1"/>
    <s v="West"/>
    <x v="1"/>
    <n v="4"/>
    <n v="22000"/>
    <n v="165000"/>
    <n v="150000"/>
    <n v="110.00000000000001"/>
  </r>
  <r>
    <n v="1043"/>
    <d v="2026-09-12T00:00:00"/>
    <s v="September"/>
    <x v="2"/>
    <s v="North"/>
    <x v="3"/>
    <n v="7"/>
    <n v="18000"/>
    <n v="165000"/>
    <n v="100000"/>
    <n v="165"/>
  </r>
  <r>
    <n v="1044"/>
    <d v="2026-09-13T00:00:00"/>
    <s v="September"/>
    <x v="3"/>
    <s v="South"/>
    <x v="2"/>
    <n v="18"/>
    <n v="2500"/>
    <n v="165000"/>
    <n v="30000"/>
    <n v="550"/>
  </r>
  <r>
    <n v="1045"/>
    <d v="2026-09-14T00:00:00"/>
    <s v="September"/>
    <x v="0"/>
    <s v="West"/>
    <x v="2"/>
    <n v="3"/>
    <n v="55000"/>
    <n v="165000"/>
    <n v="200000"/>
    <n v="82.5"/>
  </r>
  <r>
    <n v="1046"/>
    <d v="2026-09-15T00:00:00"/>
    <s v="September"/>
    <x v="1"/>
    <s v="East"/>
    <x v="3"/>
    <n v="8"/>
    <n v="22000"/>
    <n v="165000"/>
    <n v="150000"/>
    <n v="110.00000000000001"/>
  </r>
  <r>
    <n v="1047"/>
    <d v="2026-09-16T00:00:00"/>
    <s v="September"/>
    <x v="2"/>
    <s v="South"/>
    <x v="0"/>
    <n v="6"/>
    <n v="18000"/>
    <n v="165000"/>
    <n v="100000"/>
    <n v="165"/>
  </r>
  <r>
    <n v="1048"/>
    <d v="2026-09-17T00:00:00"/>
    <s v="September"/>
    <x v="3"/>
    <s v="North"/>
    <x v="1"/>
    <n v="10"/>
    <n v="2500"/>
    <n v="165000"/>
    <n v="30000"/>
    <n v="550"/>
  </r>
  <r>
    <n v="1049"/>
    <d v="2026-09-18T00:00:00"/>
    <s v="September"/>
    <x v="0"/>
    <s v="North"/>
    <x v="2"/>
    <n v="4"/>
    <n v="55000"/>
    <n v="165000"/>
    <n v="200000"/>
    <n v="82.5"/>
  </r>
  <r>
    <n v="1050"/>
    <d v="2026-09-19T00:00:00"/>
    <s v="September"/>
    <x v="1"/>
    <s v="South"/>
    <x v="0"/>
    <n v="7"/>
    <n v="22000"/>
    <n v="165000"/>
    <n v="150000"/>
    <n v="110.000000000000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6-08-01T00:00:00"/>
    <s v="August"/>
    <x v="0"/>
    <x v="0"/>
    <s v="Rahul"/>
    <n v="3"/>
    <n v="55000"/>
    <n v="165000"/>
    <n v="200000"/>
    <n v="82.5"/>
  </r>
  <r>
    <n v="1002"/>
    <d v="2026-08-02T00:00:00"/>
    <s v="August"/>
    <x v="1"/>
    <x v="1"/>
    <s v="Priya"/>
    <n v="5"/>
    <n v="22000"/>
    <n v="165000"/>
    <n v="150000"/>
    <n v="110.00000000000001"/>
  </r>
  <r>
    <n v="1003"/>
    <d v="2026-08-03T00:00:00"/>
    <s v="August"/>
    <x v="2"/>
    <x v="2"/>
    <s v="Amit"/>
    <n v="4"/>
    <n v="18000"/>
    <n v="165000"/>
    <n v="100000"/>
    <n v="165"/>
  </r>
  <r>
    <n v="1004"/>
    <d v="2026-08-04T00:00:00"/>
    <s v="August"/>
    <x v="3"/>
    <x v="3"/>
    <s v="Sneha"/>
    <n v="8"/>
    <n v="2500"/>
    <n v="165000"/>
    <n v="30000"/>
    <n v="550"/>
  </r>
  <r>
    <n v="1005"/>
    <d v="2026-08-05T00:00:00"/>
    <s v="August"/>
    <x v="0"/>
    <x v="1"/>
    <s v="Rahul"/>
    <n v="2"/>
    <n v="55000"/>
    <n v="165000"/>
    <n v="200000"/>
    <n v="82.5"/>
  </r>
  <r>
    <n v="1006"/>
    <d v="2026-08-06T00:00:00"/>
    <s v="August"/>
    <x v="1"/>
    <x v="0"/>
    <s v="Amit"/>
    <n v="7"/>
    <n v="22000"/>
    <n v="165000"/>
    <n v="150000"/>
    <n v="110.00000000000001"/>
  </r>
  <r>
    <n v="1007"/>
    <d v="2026-08-07T00:00:00"/>
    <s v="August"/>
    <x v="2"/>
    <x v="3"/>
    <s v="Priya"/>
    <n v="6"/>
    <n v="18000"/>
    <n v="165000"/>
    <n v="100000"/>
    <n v="165"/>
  </r>
  <r>
    <n v="1008"/>
    <d v="2026-08-08T00:00:00"/>
    <s v="August"/>
    <x v="3"/>
    <x v="2"/>
    <s v="Sneha"/>
    <n v="10"/>
    <n v="2500"/>
    <n v="165000"/>
    <n v="30000"/>
    <n v="550"/>
  </r>
  <r>
    <n v="1009"/>
    <d v="2026-08-09T00:00:00"/>
    <s v="August"/>
    <x v="0"/>
    <x v="2"/>
    <s v="Amit"/>
    <n v="4"/>
    <n v="55000"/>
    <n v="165000"/>
    <n v="200000"/>
    <n v="82.5"/>
  </r>
  <r>
    <n v="1010"/>
    <d v="2026-08-10T00:00:00"/>
    <s v="August"/>
    <x v="1"/>
    <x v="3"/>
    <s v="Rahul"/>
    <n v="3"/>
    <n v="22000"/>
    <n v="165000"/>
    <n v="150000"/>
    <n v="110.00000000000001"/>
  </r>
  <r>
    <n v="1011"/>
    <d v="2026-08-11T00:00:00"/>
    <s v="August"/>
    <x v="2"/>
    <x v="0"/>
    <s v="Sneha"/>
    <n v="5"/>
    <n v="18000"/>
    <n v="165000"/>
    <n v="100000"/>
    <n v="165"/>
  </r>
  <r>
    <n v="1012"/>
    <d v="2026-08-12T00:00:00"/>
    <s v="August"/>
    <x v="3"/>
    <x v="1"/>
    <s v="Priya"/>
    <n v="12"/>
    <n v="2500"/>
    <n v="165000"/>
    <n v="30000"/>
    <n v="550"/>
  </r>
  <r>
    <n v="1013"/>
    <d v="2026-08-13T00:00:00"/>
    <s v="August"/>
    <x v="0"/>
    <x v="3"/>
    <s v="Priya"/>
    <n v="2"/>
    <n v="55000"/>
    <n v="165000"/>
    <n v="200000"/>
    <n v="82.5"/>
  </r>
  <r>
    <n v="1014"/>
    <d v="2026-08-14T00:00:00"/>
    <s v="August"/>
    <x v="1"/>
    <x v="2"/>
    <s v="Sneha"/>
    <n v="6"/>
    <n v="22000"/>
    <n v="165000"/>
    <n v="150000"/>
    <n v="110.00000000000001"/>
  </r>
  <r>
    <n v="1015"/>
    <d v="2026-08-15T00:00:00"/>
    <s v="August"/>
    <x v="2"/>
    <x v="1"/>
    <s v="Rahul"/>
    <n v="7"/>
    <n v="18000"/>
    <n v="165000"/>
    <n v="100000"/>
    <n v="165"/>
  </r>
  <r>
    <n v="1016"/>
    <d v="2026-08-16T00:00:00"/>
    <s v="August"/>
    <x v="3"/>
    <x v="0"/>
    <s v="Amit"/>
    <n v="9"/>
    <n v="2500"/>
    <n v="165000"/>
    <n v="30000"/>
    <n v="550"/>
  </r>
  <r>
    <n v="1017"/>
    <d v="2026-08-17T00:00:00"/>
    <s v="August"/>
    <x v="0"/>
    <x v="0"/>
    <s v="Sneha"/>
    <n v="5"/>
    <n v="55000"/>
    <n v="165000"/>
    <n v="200000"/>
    <n v="82.5"/>
  </r>
  <r>
    <n v="1018"/>
    <d v="2026-08-18T00:00:00"/>
    <s v="August"/>
    <x v="1"/>
    <x v="1"/>
    <s v="Amit"/>
    <n v="4"/>
    <n v="22000"/>
    <n v="165000"/>
    <n v="150000"/>
    <n v="110.00000000000001"/>
  </r>
  <r>
    <n v="1019"/>
    <d v="2026-08-19T00:00:00"/>
    <s v="August"/>
    <x v="2"/>
    <x v="2"/>
    <s v="Rahul"/>
    <n v="8"/>
    <n v="18000"/>
    <n v="165000"/>
    <n v="100000"/>
    <n v="165"/>
  </r>
  <r>
    <n v="1020"/>
    <d v="2026-08-20T00:00:00"/>
    <s v="August"/>
    <x v="3"/>
    <x v="3"/>
    <s v="Priya"/>
    <n v="15"/>
    <n v="2500"/>
    <n v="165000"/>
    <n v="30000"/>
    <n v="550"/>
  </r>
  <r>
    <n v="1021"/>
    <d v="2026-08-21T00:00:00"/>
    <s v="August"/>
    <x v="0"/>
    <x v="1"/>
    <s v="Amit"/>
    <n v="3"/>
    <n v="55000"/>
    <n v="165000"/>
    <n v="200000"/>
    <n v="82.5"/>
  </r>
  <r>
    <n v="1022"/>
    <d v="2026-08-22T00:00:00"/>
    <s v="August"/>
    <x v="1"/>
    <x v="0"/>
    <s v="Priya"/>
    <n v="8"/>
    <n v="22000"/>
    <n v="165000"/>
    <n v="150000"/>
    <n v="110.00000000000001"/>
  </r>
  <r>
    <n v="1023"/>
    <d v="2026-08-23T00:00:00"/>
    <s v="August"/>
    <x v="2"/>
    <x v="3"/>
    <s v="Sneha"/>
    <n v="4"/>
    <n v="18000"/>
    <n v="165000"/>
    <n v="100000"/>
    <n v="165"/>
  </r>
  <r>
    <n v="1024"/>
    <d v="2026-08-24T00:00:00"/>
    <s v="August"/>
    <x v="3"/>
    <x v="2"/>
    <s v="Rahul"/>
    <n v="11"/>
    <n v="2500"/>
    <n v="165000"/>
    <n v="30000"/>
    <n v="550"/>
  </r>
  <r>
    <n v="1025"/>
    <d v="2026-08-25T00:00:00"/>
    <s v="August"/>
    <x v="0"/>
    <x v="2"/>
    <s v="Priya"/>
    <n v="2"/>
    <n v="55000"/>
    <n v="165000"/>
    <n v="200000"/>
    <n v="82.5"/>
  </r>
  <r>
    <n v="1026"/>
    <d v="2026-08-26T00:00:00"/>
    <s v="August"/>
    <x v="1"/>
    <x v="3"/>
    <s v="Amit"/>
    <n v="5"/>
    <n v="22000"/>
    <n v="165000"/>
    <n v="150000"/>
    <n v="110.00000000000001"/>
  </r>
  <r>
    <n v="1027"/>
    <d v="2026-08-27T00:00:00"/>
    <s v="August"/>
    <x v="2"/>
    <x v="0"/>
    <s v="Rahul"/>
    <n v="6"/>
    <n v="18000"/>
    <n v="165000"/>
    <n v="100000"/>
    <n v="165"/>
  </r>
  <r>
    <n v="1028"/>
    <d v="2026-08-28T00:00:00"/>
    <s v="August"/>
    <x v="3"/>
    <x v="1"/>
    <s v="Sneha"/>
    <n v="14"/>
    <n v="2500"/>
    <n v="165000"/>
    <n v="30000"/>
    <n v="550"/>
  </r>
  <r>
    <n v="1029"/>
    <d v="2026-08-29T00:00:00"/>
    <s v="August"/>
    <x v="0"/>
    <x v="3"/>
    <s v="Sneha"/>
    <n v="4"/>
    <n v="55000"/>
    <n v="165000"/>
    <n v="200000"/>
    <n v="82.5"/>
  </r>
  <r>
    <n v="1030"/>
    <d v="2026-08-30T00:00:00"/>
    <s v="August"/>
    <x v="1"/>
    <x v="2"/>
    <s v="Rahul"/>
    <n v="7"/>
    <n v="22000"/>
    <n v="165000"/>
    <n v="150000"/>
    <n v="110.00000000000001"/>
  </r>
  <r>
    <n v="1031"/>
    <d v="2026-08-31T00:00:00"/>
    <s v="August"/>
    <x v="2"/>
    <x v="1"/>
    <s v="Priya"/>
    <n v="5"/>
    <n v="18000"/>
    <n v="165000"/>
    <n v="100000"/>
    <n v="165"/>
  </r>
  <r>
    <n v="1032"/>
    <d v="2026-09-01T00:00:00"/>
    <s v="September"/>
    <x v="3"/>
    <x v="0"/>
    <s v="Amit"/>
    <n v="13"/>
    <n v="2500"/>
    <n v="165000"/>
    <n v="30000"/>
    <n v="550"/>
  </r>
  <r>
    <n v="1033"/>
    <d v="2026-09-02T00:00:00"/>
    <s v="September"/>
    <x v="0"/>
    <x v="0"/>
    <s v="Priya"/>
    <n v="3"/>
    <n v="55000"/>
    <n v="165000"/>
    <n v="200000"/>
    <n v="82.5"/>
  </r>
  <r>
    <n v="1034"/>
    <d v="2026-09-03T00:00:00"/>
    <s v="September"/>
    <x v="1"/>
    <x v="1"/>
    <s v="Sneha"/>
    <n v="6"/>
    <n v="22000"/>
    <n v="165000"/>
    <n v="150000"/>
    <n v="110.00000000000001"/>
  </r>
  <r>
    <n v="1035"/>
    <d v="2026-09-04T00:00:00"/>
    <s v="September"/>
    <x v="2"/>
    <x v="2"/>
    <s v="Amit"/>
    <n v="9"/>
    <n v="18000"/>
    <n v="165000"/>
    <n v="100000"/>
    <n v="165"/>
  </r>
  <r>
    <n v="1036"/>
    <d v="2026-09-05T00:00:00"/>
    <s v="September"/>
    <x v="3"/>
    <x v="3"/>
    <s v="Rahul"/>
    <n v="16"/>
    <n v="2500"/>
    <n v="165000"/>
    <n v="30000"/>
    <n v="550"/>
  </r>
  <r>
    <n v="1037"/>
    <d v="2026-09-06T00:00:00"/>
    <s v="September"/>
    <x v="0"/>
    <x v="1"/>
    <s v="Sneha"/>
    <n v="2"/>
    <n v="55000"/>
    <n v="165000"/>
    <n v="200000"/>
    <n v="82.5"/>
  </r>
  <r>
    <n v="1038"/>
    <d v="2026-09-07T00:00:00"/>
    <s v="September"/>
    <x v="1"/>
    <x v="0"/>
    <s v="Rahul"/>
    <n v="9"/>
    <n v="22000"/>
    <n v="165000"/>
    <n v="150000"/>
    <n v="110.00000000000001"/>
  </r>
  <r>
    <n v="1039"/>
    <d v="2026-09-08T00:00:00"/>
    <s v="September"/>
    <x v="2"/>
    <x v="3"/>
    <s v="Amit"/>
    <n v="6"/>
    <n v="18000"/>
    <n v="165000"/>
    <n v="100000"/>
    <n v="165"/>
  </r>
  <r>
    <n v="1040"/>
    <d v="2026-09-09T00:00:00"/>
    <s v="September"/>
    <x v="3"/>
    <x v="2"/>
    <s v="Priya"/>
    <n v="12"/>
    <n v="2500"/>
    <n v="165000"/>
    <n v="30000"/>
    <n v="550"/>
  </r>
  <r>
    <n v="1041"/>
    <d v="2026-09-10T00:00:00"/>
    <s v="September"/>
    <x v="0"/>
    <x v="2"/>
    <s v="Rahul"/>
    <n v="5"/>
    <n v="55000"/>
    <n v="165000"/>
    <n v="200000"/>
    <n v="82.5"/>
  </r>
  <r>
    <n v="1042"/>
    <d v="2026-09-11T00:00:00"/>
    <s v="September"/>
    <x v="1"/>
    <x v="3"/>
    <s v="Priya"/>
    <n v="4"/>
    <n v="22000"/>
    <n v="165000"/>
    <n v="150000"/>
    <n v="110.00000000000001"/>
  </r>
  <r>
    <n v="1043"/>
    <d v="2026-09-12T00:00:00"/>
    <s v="September"/>
    <x v="2"/>
    <x v="0"/>
    <s v="Sneha"/>
    <n v="7"/>
    <n v="18000"/>
    <n v="165000"/>
    <n v="100000"/>
    <n v="165"/>
  </r>
  <r>
    <n v="1044"/>
    <d v="2026-09-13T00:00:00"/>
    <s v="September"/>
    <x v="3"/>
    <x v="1"/>
    <s v="Amit"/>
    <n v="18"/>
    <n v="2500"/>
    <n v="165000"/>
    <n v="30000"/>
    <n v="550"/>
  </r>
  <r>
    <n v="1045"/>
    <d v="2026-09-14T00:00:00"/>
    <s v="September"/>
    <x v="0"/>
    <x v="3"/>
    <s v="Amit"/>
    <n v="3"/>
    <n v="55000"/>
    <n v="165000"/>
    <n v="200000"/>
    <n v="82.5"/>
  </r>
  <r>
    <n v="1046"/>
    <d v="2026-09-15T00:00:00"/>
    <s v="September"/>
    <x v="1"/>
    <x v="2"/>
    <s v="Sneha"/>
    <n v="8"/>
    <n v="22000"/>
    <n v="165000"/>
    <n v="150000"/>
    <n v="110.00000000000001"/>
  </r>
  <r>
    <n v="1047"/>
    <d v="2026-09-16T00:00:00"/>
    <s v="September"/>
    <x v="2"/>
    <x v="1"/>
    <s v="Rahul"/>
    <n v="6"/>
    <n v="18000"/>
    <n v="165000"/>
    <n v="100000"/>
    <n v="165"/>
  </r>
  <r>
    <n v="1048"/>
    <d v="2026-09-17T00:00:00"/>
    <s v="September"/>
    <x v="3"/>
    <x v="0"/>
    <s v="Priya"/>
    <n v="10"/>
    <n v="2500"/>
    <n v="165000"/>
    <n v="30000"/>
    <n v="550"/>
  </r>
  <r>
    <n v="1049"/>
    <d v="2026-09-18T00:00:00"/>
    <s v="September"/>
    <x v="0"/>
    <x v="0"/>
    <s v="Amit"/>
    <n v="4"/>
    <n v="55000"/>
    <n v="165000"/>
    <n v="200000"/>
    <n v="82.5"/>
  </r>
  <r>
    <n v="1050"/>
    <d v="2026-09-19T00:00:00"/>
    <s v="September"/>
    <x v="1"/>
    <x v="1"/>
    <s v="Rahul"/>
    <n v="7"/>
    <n v="22000"/>
    <n v="165000"/>
    <n v="150000"/>
    <n v="110.000000000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d v="2026-08-01T00:00:00"/>
    <x v="0"/>
    <x v="0"/>
    <s v="North"/>
    <s v="Rahul"/>
    <n v="3"/>
    <n v="55000"/>
    <x v="0"/>
    <n v="200000"/>
    <n v="82.5"/>
  </r>
  <r>
    <x v="1"/>
    <d v="2026-08-02T00:00:00"/>
    <x v="0"/>
    <x v="1"/>
    <s v="South"/>
    <s v="Priya"/>
    <n v="5"/>
    <n v="22000"/>
    <x v="0"/>
    <n v="150000"/>
    <n v="110.00000000000001"/>
  </r>
  <r>
    <x v="2"/>
    <d v="2026-08-03T00:00:00"/>
    <x v="0"/>
    <x v="2"/>
    <s v="East"/>
    <s v="Amit"/>
    <n v="4"/>
    <n v="18000"/>
    <x v="0"/>
    <n v="100000"/>
    <n v="165"/>
  </r>
  <r>
    <x v="3"/>
    <d v="2026-08-04T00:00:00"/>
    <x v="0"/>
    <x v="3"/>
    <s v="West"/>
    <s v="Sneha"/>
    <n v="8"/>
    <n v="2500"/>
    <x v="0"/>
    <n v="30000"/>
    <n v="550"/>
  </r>
  <r>
    <x v="4"/>
    <d v="2026-08-05T00:00:00"/>
    <x v="0"/>
    <x v="0"/>
    <s v="South"/>
    <s v="Rahul"/>
    <n v="2"/>
    <n v="55000"/>
    <x v="0"/>
    <n v="200000"/>
    <n v="82.5"/>
  </r>
  <r>
    <x v="5"/>
    <d v="2026-08-06T00:00:00"/>
    <x v="0"/>
    <x v="1"/>
    <s v="North"/>
    <s v="Amit"/>
    <n v="7"/>
    <n v="22000"/>
    <x v="0"/>
    <n v="150000"/>
    <n v="110.00000000000001"/>
  </r>
  <r>
    <x v="6"/>
    <d v="2026-08-07T00:00:00"/>
    <x v="0"/>
    <x v="2"/>
    <s v="West"/>
    <s v="Priya"/>
    <n v="6"/>
    <n v="18000"/>
    <x v="0"/>
    <n v="100000"/>
    <n v="165"/>
  </r>
  <r>
    <x v="7"/>
    <d v="2026-08-08T00:00:00"/>
    <x v="0"/>
    <x v="3"/>
    <s v="East"/>
    <s v="Sneha"/>
    <n v="10"/>
    <n v="2500"/>
    <x v="0"/>
    <n v="30000"/>
    <n v="550"/>
  </r>
  <r>
    <x v="8"/>
    <d v="2026-08-09T00:00:00"/>
    <x v="0"/>
    <x v="0"/>
    <s v="East"/>
    <s v="Amit"/>
    <n v="4"/>
    <n v="55000"/>
    <x v="0"/>
    <n v="200000"/>
    <n v="82.5"/>
  </r>
  <r>
    <x v="9"/>
    <d v="2026-08-10T00:00:00"/>
    <x v="0"/>
    <x v="1"/>
    <s v="West"/>
    <s v="Rahul"/>
    <n v="3"/>
    <n v="22000"/>
    <x v="0"/>
    <n v="150000"/>
    <n v="110.00000000000001"/>
  </r>
  <r>
    <x v="10"/>
    <d v="2026-08-11T00:00:00"/>
    <x v="0"/>
    <x v="2"/>
    <s v="North"/>
    <s v="Sneha"/>
    <n v="5"/>
    <n v="18000"/>
    <x v="0"/>
    <n v="100000"/>
    <n v="165"/>
  </r>
  <r>
    <x v="11"/>
    <d v="2026-08-12T00:00:00"/>
    <x v="0"/>
    <x v="3"/>
    <s v="South"/>
    <s v="Priya"/>
    <n v="12"/>
    <n v="2500"/>
    <x v="0"/>
    <n v="30000"/>
    <n v="550"/>
  </r>
  <r>
    <x v="12"/>
    <d v="2026-08-13T00:00:00"/>
    <x v="0"/>
    <x v="0"/>
    <s v="West"/>
    <s v="Priya"/>
    <n v="2"/>
    <n v="55000"/>
    <x v="0"/>
    <n v="200000"/>
    <n v="82.5"/>
  </r>
  <r>
    <x v="13"/>
    <d v="2026-08-14T00:00:00"/>
    <x v="0"/>
    <x v="1"/>
    <s v="East"/>
    <s v="Sneha"/>
    <n v="6"/>
    <n v="22000"/>
    <x v="0"/>
    <n v="150000"/>
    <n v="110.00000000000001"/>
  </r>
  <r>
    <x v="14"/>
    <d v="2026-08-15T00:00:00"/>
    <x v="0"/>
    <x v="2"/>
    <s v="South"/>
    <s v="Rahul"/>
    <n v="7"/>
    <n v="18000"/>
    <x v="0"/>
    <n v="100000"/>
    <n v="165"/>
  </r>
  <r>
    <x v="15"/>
    <d v="2026-08-16T00:00:00"/>
    <x v="0"/>
    <x v="3"/>
    <s v="North"/>
    <s v="Amit"/>
    <n v="9"/>
    <n v="2500"/>
    <x v="0"/>
    <n v="30000"/>
    <n v="550"/>
  </r>
  <r>
    <x v="16"/>
    <d v="2026-08-17T00:00:00"/>
    <x v="0"/>
    <x v="0"/>
    <s v="North"/>
    <s v="Sneha"/>
    <n v="5"/>
    <n v="55000"/>
    <x v="0"/>
    <n v="200000"/>
    <n v="82.5"/>
  </r>
  <r>
    <x v="17"/>
    <d v="2026-08-18T00:00:00"/>
    <x v="0"/>
    <x v="1"/>
    <s v="South"/>
    <s v="Amit"/>
    <n v="4"/>
    <n v="22000"/>
    <x v="0"/>
    <n v="150000"/>
    <n v="110.00000000000001"/>
  </r>
  <r>
    <x v="18"/>
    <d v="2026-08-19T00:00:00"/>
    <x v="0"/>
    <x v="2"/>
    <s v="East"/>
    <s v="Rahul"/>
    <n v="8"/>
    <n v="18000"/>
    <x v="0"/>
    <n v="100000"/>
    <n v="165"/>
  </r>
  <r>
    <x v="19"/>
    <d v="2026-08-20T00:00:00"/>
    <x v="0"/>
    <x v="3"/>
    <s v="West"/>
    <s v="Priya"/>
    <n v="15"/>
    <n v="2500"/>
    <x v="0"/>
    <n v="30000"/>
    <n v="550"/>
  </r>
  <r>
    <x v="20"/>
    <d v="2026-08-21T00:00:00"/>
    <x v="0"/>
    <x v="0"/>
    <s v="South"/>
    <s v="Amit"/>
    <n v="3"/>
    <n v="55000"/>
    <x v="0"/>
    <n v="200000"/>
    <n v="82.5"/>
  </r>
  <r>
    <x v="21"/>
    <d v="2026-08-22T00:00:00"/>
    <x v="0"/>
    <x v="1"/>
    <s v="North"/>
    <s v="Priya"/>
    <n v="8"/>
    <n v="22000"/>
    <x v="0"/>
    <n v="150000"/>
    <n v="110.00000000000001"/>
  </r>
  <r>
    <x v="22"/>
    <d v="2026-08-23T00:00:00"/>
    <x v="0"/>
    <x v="2"/>
    <s v="West"/>
    <s v="Sneha"/>
    <n v="4"/>
    <n v="18000"/>
    <x v="0"/>
    <n v="100000"/>
    <n v="165"/>
  </r>
  <r>
    <x v="23"/>
    <d v="2026-08-24T00:00:00"/>
    <x v="0"/>
    <x v="3"/>
    <s v="East"/>
    <s v="Rahul"/>
    <n v="11"/>
    <n v="2500"/>
    <x v="0"/>
    <n v="30000"/>
    <n v="550"/>
  </r>
  <r>
    <x v="24"/>
    <d v="2026-08-25T00:00:00"/>
    <x v="0"/>
    <x v="0"/>
    <s v="East"/>
    <s v="Priya"/>
    <n v="2"/>
    <n v="55000"/>
    <x v="0"/>
    <n v="200000"/>
    <n v="82.5"/>
  </r>
  <r>
    <x v="25"/>
    <d v="2026-08-26T00:00:00"/>
    <x v="0"/>
    <x v="1"/>
    <s v="West"/>
    <s v="Amit"/>
    <n v="5"/>
    <n v="22000"/>
    <x v="0"/>
    <n v="150000"/>
    <n v="110.00000000000001"/>
  </r>
  <r>
    <x v="26"/>
    <d v="2026-08-27T00:00:00"/>
    <x v="0"/>
    <x v="2"/>
    <s v="North"/>
    <s v="Rahul"/>
    <n v="6"/>
    <n v="18000"/>
    <x v="0"/>
    <n v="100000"/>
    <n v="165"/>
  </r>
  <r>
    <x v="27"/>
    <d v="2026-08-28T00:00:00"/>
    <x v="0"/>
    <x v="3"/>
    <s v="South"/>
    <s v="Sneha"/>
    <n v="14"/>
    <n v="2500"/>
    <x v="0"/>
    <n v="30000"/>
    <n v="550"/>
  </r>
  <r>
    <x v="28"/>
    <d v="2026-08-29T00:00:00"/>
    <x v="0"/>
    <x v="0"/>
    <s v="West"/>
    <s v="Sneha"/>
    <n v="4"/>
    <n v="55000"/>
    <x v="0"/>
    <n v="200000"/>
    <n v="82.5"/>
  </r>
  <r>
    <x v="29"/>
    <d v="2026-08-30T00:00:00"/>
    <x v="0"/>
    <x v="1"/>
    <s v="East"/>
    <s v="Rahul"/>
    <n v="7"/>
    <n v="22000"/>
    <x v="0"/>
    <n v="150000"/>
    <n v="110.00000000000001"/>
  </r>
  <r>
    <x v="30"/>
    <d v="2026-08-31T00:00:00"/>
    <x v="0"/>
    <x v="2"/>
    <s v="South"/>
    <s v="Priya"/>
    <n v="5"/>
    <n v="18000"/>
    <x v="0"/>
    <n v="100000"/>
    <n v="165"/>
  </r>
  <r>
    <x v="31"/>
    <d v="2026-09-01T00:00:00"/>
    <x v="1"/>
    <x v="3"/>
    <s v="North"/>
    <s v="Amit"/>
    <n v="13"/>
    <n v="2500"/>
    <x v="0"/>
    <n v="30000"/>
    <n v="550"/>
  </r>
  <r>
    <x v="32"/>
    <d v="2026-09-02T00:00:00"/>
    <x v="1"/>
    <x v="0"/>
    <s v="North"/>
    <s v="Priya"/>
    <n v="3"/>
    <n v="55000"/>
    <x v="0"/>
    <n v="200000"/>
    <n v="82.5"/>
  </r>
  <r>
    <x v="33"/>
    <d v="2026-09-03T00:00:00"/>
    <x v="1"/>
    <x v="1"/>
    <s v="South"/>
    <s v="Sneha"/>
    <n v="6"/>
    <n v="22000"/>
    <x v="0"/>
    <n v="150000"/>
    <n v="110.00000000000001"/>
  </r>
  <r>
    <x v="34"/>
    <d v="2026-09-04T00:00:00"/>
    <x v="1"/>
    <x v="2"/>
    <s v="East"/>
    <s v="Amit"/>
    <n v="9"/>
    <n v="18000"/>
    <x v="0"/>
    <n v="100000"/>
    <n v="165"/>
  </r>
  <r>
    <x v="35"/>
    <d v="2026-09-05T00:00:00"/>
    <x v="1"/>
    <x v="3"/>
    <s v="West"/>
    <s v="Rahul"/>
    <n v="16"/>
    <n v="2500"/>
    <x v="0"/>
    <n v="30000"/>
    <n v="550"/>
  </r>
  <r>
    <x v="36"/>
    <d v="2026-09-06T00:00:00"/>
    <x v="1"/>
    <x v="0"/>
    <s v="South"/>
    <s v="Sneha"/>
    <n v="2"/>
    <n v="55000"/>
    <x v="0"/>
    <n v="200000"/>
    <n v="82.5"/>
  </r>
  <r>
    <x v="37"/>
    <d v="2026-09-07T00:00:00"/>
    <x v="1"/>
    <x v="1"/>
    <s v="North"/>
    <s v="Rahul"/>
    <n v="9"/>
    <n v="22000"/>
    <x v="0"/>
    <n v="150000"/>
    <n v="110.00000000000001"/>
  </r>
  <r>
    <x v="38"/>
    <d v="2026-09-08T00:00:00"/>
    <x v="1"/>
    <x v="2"/>
    <s v="West"/>
    <s v="Amit"/>
    <n v="6"/>
    <n v="18000"/>
    <x v="0"/>
    <n v="100000"/>
    <n v="165"/>
  </r>
  <r>
    <x v="39"/>
    <d v="2026-09-09T00:00:00"/>
    <x v="1"/>
    <x v="3"/>
    <s v="East"/>
    <s v="Priya"/>
    <n v="12"/>
    <n v="2500"/>
    <x v="0"/>
    <n v="30000"/>
    <n v="550"/>
  </r>
  <r>
    <x v="40"/>
    <d v="2026-09-10T00:00:00"/>
    <x v="1"/>
    <x v="0"/>
    <s v="East"/>
    <s v="Rahul"/>
    <n v="5"/>
    <n v="55000"/>
    <x v="0"/>
    <n v="200000"/>
    <n v="82.5"/>
  </r>
  <r>
    <x v="41"/>
    <d v="2026-09-11T00:00:00"/>
    <x v="1"/>
    <x v="1"/>
    <s v="West"/>
    <s v="Priya"/>
    <n v="4"/>
    <n v="22000"/>
    <x v="0"/>
    <n v="150000"/>
    <n v="110.00000000000001"/>
  </r>
  <r>
    <x v="42"/>
    <d v="2026-09-12T00:00:00"/>
    <x v="1"/>
    <x v="2"/>
    <s v="North"/>
    <s v="Sneha"/>
    <n v="7"/>
    <n v="18000"/>
    <x v="0"/>
    <n v="100000"/>
    <n v="165"/>
  </r>
  <r>
    <x v="43"/>
    <d v="2026-09-13T00:00:00"/>
    <x v="1"/>
    <x v="3"/>
    <s v="South"/>
    <s v="Amit"/>
    <n v="18"/>
    <n v="2500"/>
    <x v="0"/>
    <n v="30000"/>
    <n v="550"/>
  </r>
  <r>
    <x v="44"/>
    <d v="2026-09-14T00:00:00"/>
    <x v="1"/>
    <x v="0"/>
    <s v="West"/>
    <s v="Amit"/>
    <n v="3"/>
    <n v="55000"/>
    <x v="0"/>
    <n v="200000"/>
    <n v="82.5"/>
  </r>
  <r>
    <x v="45"/>
    <d v="2026-09-15T00:00:00"/>
    <x v="1"/>
    <x v="1"/>
    <s v="East"/>
    <s v="Sneha"/>
    <n v="8"/>
    <n v="22000"/>
    <x v="0"/>
    <n v="150000"/>
    <n v="110.00000000000001"/>
  </r>
  <r>
    <x v="46"/>
    <d v="2026-09-16T00:00:00"/>
    <x v="1"/>
    <x v="2"/>
    <s v="South"/>
    <s v="Rahul"/>
    <n v="6"/>
    <n v="18000"/>
    <x v="0"/>
    <n v="100000"/>
    <n v="165"/>
  </r>
  <r>
    <x v="47"/>
    <d v="2026-09-17T00:00:00"/>
    <x v="1"/>
    <x v="3"/>
    <s v="North"/>
    <s v="Priya"/>
    <n v="10"/>
    <n v="2500"/>
    <x v="0"/>
    <n v="30000"/>
    <n v="550"/>
  </r>
  <r>
    <x v="48"/>
    <d v="2026-09-18T00:00:00"/>
    <x v="1"/>
    <x v="0"/>
    <s v="North"/>
    <s v="Amit"/>
    <n v="4"/>
    <n v="55000"/>
    <x v="0"/>
    <n v="200000"/>
    <n v="82.5"/>
  </r>
  <r>
    <x v="49"/>
    <d v="2026-09-19T00:00:00"/>
    <x v="1"/>
    <x v="1"/>
    <s v="South"/>
    <s v="Rahul"/>
    <n v="7"/>
    <n v="22000"/>
    <x v="0"/>
    <n v="150000"/>
    <n v="110.0000000000000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6-08-01T00:00:00"/>
    <s v="August"/>
    <x v="0"/>
    <x v="0"/>
    <x v="0"/>
    <n v="3"/>
    <n v="55000"/>
    <n v="165000"/>
    <n v="200000"/>
    <n v="82.5"/>
  </r>
  <r>
    <n v="1002"/>
    <d v="2026-08-02T00:00:00"/>
    <s v="August"/>
    <x v="1"/>
    <x v="1"/>
    <x v="1"/>
    <n v="5"/>
    <n v="22000"/>
    <n v="165000"/>
    <n v="150000"/>
    <n v="110.00000000000001"/>
  </r>
  <r>
    <n v="1003"/>
    <d v="2026-08-03T00:00:00"/>
    <s v="August"/>
    <x v="2"/>
    <x v="2"/>
    <x v="2"/>
    <n v="4"/>
    <n v="18000"/>
    <n v="165000"/>
    <n v="100000"/>
    <n v="165"/>
  </r>
  <r>
    <n v="1004"/>
    <d v="2026-08-04T00:00:00"/>
    <s v="August"/>
    <x v="3"/>
    <x v="3"/>
    <x v="3"/>
    <n v="8"/>
    <n v="2500"/>
    <n v="165000"/>
    <n v="30000"/>
    <n v="550"/>
  </r>
  <r>
    <n v="1005"/>
    <d v="2026-08-05T00:00:00"/>
    <s v="August"/>
    <x v="0"/>
    <x v="1"/>
    <x v="0"/>
    <n v="2"/>
    <n v="55000"/>
    <n v="165000"/>
    <n v="200000"/>
    <n v="82.5"/>
  </r>
  <r>
    <n v="1006"/>
    <d v="2026-08-06T00:00:00"/>
    <s v="August"/>
    <x v="1"/>
    <x v="0"/>
    <x v="2"/>
    <n v="7"/>
    <n v="22000"/>
    <n v="165000"/>
    <n v="150000"/>
    <n v="110.00000000000001"/>
  </r>
  <r>
    <n v="1007"/>
    <d v="2026-08-07T00:00:00"/>
    <s v="August"/>
    <x v="2"/>
    <x v="3"/>
    <x v="1"/>
    <n v="6"/>
    <n v="18000"/>
    <n v="165000"/>
    <n v="100000"/>
    <n v="165"/>
  </r>
  <r>
    <n v="1008"/>
    <d v="2026-08-08T00:00:00"/>
    <s v="August"/>
    <x v="3"/>
    <x v="2"/>
    <x v="3"/>
    <n v="10"/>
    <n v="2500"/>
    <n v="165000"/>
    <n v="30000"/>
    <n v="550"/>
  </r>
  <r>
    <n v="1009"/>
    <d v="2026-08-09T00:00:00"/>
    <s v="August"/>
    <x v="0"/>
    <x v="2"/>
    <x v="2"/>
    <n v="4"/>
    <n v="55000"/>
    <n v="165000"/>
    <n v="200000"/>
    <n v="82.5"/>
  </r>
  <r>
    <n v="1010"/>
    <d v="2026-08-10T00:00:00"/>
    <s v="August"/>
    <x v="1"/>
    <x v="3"/>
    <x v="0"/>
    <n v="3"/>
    <n v="22000"/>
    <n v="165000"/>
    <n v="150000"/>
    <n v="110.00000000000001"/>
  </r>
  <r>
    <n v="1011"/>
    <d v="2026-08-11T00:00:00"/>
    <s v="August"/>
    <x v="2"/>
    <x v="0"/>
    <x v="3"/>
    <n v="5"/>
    <n v="18000"/>
    <n v="165000"/>
    <n v="100000"/>
    <n v="165"/>
  </r>
  <r>
    <n v="1012"/>
    <d v="2026-08-12T00:00:00"/>
    <s v="August"/>
    <x v="3"/>
    <x v="1"/>
    <x v="1"/>
    <n v="12"/>
    <n v="2500"/>
    <n v="165000"/>
    <n v="30000"/>
    <n v="550"/>
  </r>
  <r>
    <n v="1013"/>
    <d v="2026-08-13T00:00:00"/>
    <s v="August"/>
    <x v="0"/>
    <x v="3"/>
    <x v="1"/>
    <n v="2"/>
    <n v="55000"/>
    <n v="165000"/>
    <n v="200000"/>
    <n v="82.5"/>
  </r>
  <r>
    <n v="1014"/>
    <d v="2026-08-14T00:00:00"/>
    <s v="August"/>
    <x v="1"/>
    <x v="2"/>
    <x v="3"/>
    <n v="6"/>
    <n v="22000"/>
    <n v="165000"/>
    <n v="150000"/>
    <n v="110.00000000000001"/>
  </r>
  <r>
    <n v="1015"/>
    <d v="2026-08-15T00:00:00"/>
    <s v="August"/>
    <x v="2"/>
    <x v="1"/>
    <x v="0"/>
    <n v="7"/>
    <n v="18000"/>
    <n v="165000"/>
    <n v="100000"/>
    <n v="165"/>
  </r>
  <r>
    <n v="1016"/>
    <d v="2026-08-16T00:00:00"/>
    <s v="August"/>
    <x v="3"/>
    <x v="0"/>
    <x v="2"/>
    <n v="9"/>
    <n v="2500"/>
    <n v="165000"/>
    <n v="30000"/>
    <n v="550"/>
  </r>
  <r>
    <n v="1017"/>
    <d v="2026-08-17T00:00:00"/>
    <s v="August"/>
    <x v="0"/>
    <x v="0"/>
    <x v="3"/>
    <n v="5"/>
    <n v="55000"/>
    <n v="165000"/>
    <n v="200000"/>
    <n v="82.5"/>
  </r>
  <r>
    <n v="1018"/>
    <d v="2026-08-18T00:00:00"/>
    <s v="August"/>
    <x v="1"/>
    <x v="1"/>
    <x v="2"/>
    <n v="4"/>
    <n v="22000"/>
    <n v="165000"/>
    <n v="150000"/>
    <n v="110.00000000000001"/>
  </r>
  <r>
    <n v="1019"/>
    <d v="2026-08-19T00:00:00"/>
    <s v="August"/>
    <x v="2"/>
    <x v="2"/>
    <x v="0"/>
    <n v="8"/>
    <n v="18000"/>
    <n v="165000"/>
    <n v="100000"/>
    <n v="165"/>
  </r>
  <r>
    <n v="1020"/>
    <d v="2026-08-20T00:00:00"/>
    <s v="August"/>
    <x v="3"/>
    <x v="3"/>
    <x v="1"/>
    <n v="15"/>
    <n v="2500"/>
    <n v="165000"/>
    <n v="30000"/>
    <n v="550"/>
  </r>
  <r>
    <n v="1021"/>
    <d v="2026-08-21T00:00:00"/>
    <s v="August"/>
    <x v="0"/>
    <x v="1"/>
    <x v="2"/>
    <n v="3"/>
    <n v="55000"/>
    <n v="165000"/>
    <n v="200000"/>
    <n v="82.5"/>
  </r>
  <r>
    <n v="1022"/>
    <d v="2026-08-22T00:00:00"/>
    <s v="August"/>
    <x v="1"/>
    <x v="0"/>
    <x v="1"/>
    <n v="8"/>
    <n v="22000"/>
    <n v="165000"/>
    <n v="150000"/>
    <n v="110.00000000000001"/>
  </r>
  <r>
    <n v="1023"/>
    <d v="2026-08-23T00:00:00"/>
    <s v="August"/>
    <x v="2"/>
    <x v="3"/>
    <x v="3"/>
    <n v="4"/>
    <n v="18000"/>
    <n v="165000"/>
    <n v="100000"/>
    <n v="165"/>
  </r>
  <r>
    <n v="1024"/>
    <d v="2026-08-24T00:00:00"/>
    <s v="August"/>
    <x v="3"/>
    <x v="2"/>
    <x v="0"/>
    <n v="11"/>
    <n v="2500"/>
    <n v="165000"/>
    <n v="30000"/>
    <n v="550"/>
  </r>
  <r>
    <n v="1025"/>
    <d v="2026-08-25T00:00:00"/>
    <s v="August"/>
    <x v="0"/>
    <x v="2"/>
    <x v="1"/>
    <n v="2"/>
    <n v="55000"/>
    <n v="165000"/>
    <n v="200000"/>
    <n v="82.5"/>
  </r>
  <r>
    <n v="1026"/>
    <d v="2026-08-26T00:00:00"/>
    <s v="August"/>
    <x v="1"/>
    <x v="3"/>
    <x v="2"/>
    <n v="5"/>
    <n v="22000"/>
    <n v="165000"/>
    <n v="150000"/>
    <n v="110.00000000000001"/>
  </r>
  <r>
    <n v="1027"/>
    <d v="2026-08-27T00:00:00"/>
    <s v="August"/>
    <x v="2"/>
    <x v="0"/>
    <x v="0"/>
    <n v="6"/>
    <n v="18000"/>
    <n v="165000"/>
    <n v="100000"/>
    <n v="165"/>
  </r>
  <r>
    <n v="1028"/>
    <d v="2026-08-28T00:00:00"/>
    <s v="August"/>
    <x v="3"/>
    <x v="1"/>
    <x v="3"/>
    <n v="14"/>
    <n v="2500"/>
    <n v="165000"/>
    <n v="30000"/>
    <n v="550"/>
  </r>
  <r>
    <n v="1029"/>
    <d v="2026-08-29T00:00:00"/>
    <s v="August"/>
    <x v="0"/>
    <x v="3"/>
    <x v="3"/>
    <n v="4"/>
    <n v="55000"/>
    <n v="165000"/>
    <n v="200000"/>
    <n v="82.5"/>
  </r>
  <r>
    <n v="1030"/>
    <d v="2026-08-30T00:00:00"/>
    <s v="August"/>
    <x v="1"/>
    <x v="2"/>
    <x v="0"/>
    <n v="7"/>
    <n v="22000"/>
    <n v="165000"/>
    <n v="150000"/>
    <n v="110.00000000000001"/>
  </r>
  <r>
    <n v="1031"/>
    <d v="2026-08-31T00:00:00"/>
    <s v="August"/>
    <x v="2"/>
    <x v="1"/>
    <x v="1"/>
    <n v="5"/>
    <n v="18000"/>
    <n v="165000"/>
    <n v="100000"/>
    <n v="165"/>
  </r>
  <r>
    <n v="1032"/>
    <d v="2026-09-01T00:00:00"/>
    <s v="September"/>
    <x v="3"/>
    <x v="0"/>
    <x v="2"/>
    <n v="13"/>
    <n v="2500"/>
    <n v="165000"/>
    <n v="30000"/>
    <n v="550"/>
  </r>
  <r>
    <n v="1033"/>
    <d v="2026-09-02T00:00:00"/>
    <s v="September"/>
    <x v="0"/>
    <x v="0"/>
    <x v="1"/>
    <n v="3"/>
    <n v="55000"/>
    <n v="165000"/>
    <n v="200000"/>
    <n v="82.5"/>
  </r>
  <r>
    <n v="1034"/>
    <d v="2026-09-03T00:00:00"/>
    <s v="September"/>
    <x v="1"/>
    <x v="1"/>
    <x v="3"/>
    <n v="6"/>
    <n v="22000"/>
    <n v="165000"/>
    <n v="150000"/>
    <n v="110.00000000000001"/>
  </r>
  <r>
    <n v="1035"/>
    <d v="2026-09-04T00:00:00"/>
    <s v="September"/>
    <x v="2"/>
    <x v="2"/>
    <x v="2"/>
    <n v="9"/>
    <n v="18000"/>
    <n v="165000"/>
    <n v="100000"/>
    <n v="165"/>
  </r>
  <r>
    <n v="1036"/>
    <d v="2026-09-05T00:00:00"/>
    <s v="September"/>
    <x v="3"/>
    <x v="3"/>
    <x v="0"/>
    <n v="16"/>
    <n v="2500"/>
    <n v="165000"/>
    <n v="30000"/>
    <n v="550"/>
  </r>
  <r>
    <n v="1037"/>
    <d v="2026-09-06T00:00:00"/>
    <s v="September"/>
    <x v="0"/>
    <x v="1"/>
    <x v="3"/>
    <n v="2"/>
    <n v="55000"/>
    <n v="165000"/>
    <n v="200000"/>
    <n v="82.5"/>
  </r>
  <r>
    <n v="1038"/>
    <d v="2026-09-07T00:00:00"/>
    <s v="September"/>
    <x v="1"/>
    <x v="0"/>
    <x v="0"/>
    <n v="9"/>
    <n v="22000"/>
    <n v="165000"/>
    <n v="150000"/>
    <n v="110.00000000000001"/>
  </r>
  <r>
    <n v="1039"/>
    <d v="2026-09-08T00:00:00"/>
    <s v="September"/>
    <x v="2"/>
    <x v="3"/>
    <x v="2"/>
    <n v="6"/>
    <n v="18000"/>
    <n v="165000"/>
    <n v="100000"/>
    <n v="165"/>
  </r>
  <r>
    <n v="1040"/>
    <d v="2026-09-09T00:00:00"/>
    <s v="September"/>
    <x v="3"/>
    <x v="2"/>
    <x v="1"/>
    <n v="12"/>
    <n v="2500"/>
    <n v="165000"/>
    <n v="30000"/>
    <n v="550"/>
  </r>
  <r>
    <n v="1041"/>
    <d v="2026-09-10T00:00:00"/>
    <s v="September"/>
    <x v="0"/>
    <x v="2"/>
    <x v="0"/>
    <n v="5"/>
    <n v="55000"/>
    <n v="165000"/>
    <n v="200000"/>
    <n v="82.5"/>
  </r>
  <r>
    <n v="1042"/>
    <d v="2026-09-11T00:00:00"/>
    <s v="September"/>
    <x v="1"/>
    <x v="3"/>
    <x v="1"/>
    <n v="4"/>
    <n v="22000"/>
    <n v="165000"/>
    <n v="150000"/>
    <n v="110.00000000000001"/>
  </r>
  <r>
    <n v="1043"/>
    <d v="2026-09-12T00:00:00"/>
    <s v="September"/>
    <x v="2"/>
    <x v="0"/>
    <x v="3"/>
    <n v="7"/>
    <n v="18000"/>
    <n v="165000"/>
    <n v="100000"/>
    <n v="165"/>
  </r>
  <r>
    <n v="1044"/>
    <d v="2026-09-13T00:00:00"/>
    <s v="September"/>
    <x v="3"/>
    <x v="1"/>
    <x v="2"/>
    <n v="18"/>
    <n v="2500"/>
    <n v="165000"/>
    <n v="30000"/>
    <n v="550"/>
  </r>
  <r>
    <n v="1045"/>
    <d v="2026-09-14T00:00:00"/>
    <s v="September"/>
    <x v="0"/>
    <x v="3"/>
    <x v="2"/>
    <n v="3"/>
    <n v="55000"/>
    <n v="165000"/>
    <n v="200000"/>
    <n v="82.5"/>
  </r>
  <r>
    <n v="1046"/>
    <d v="2026-09-15T00:00:00"/>
    <s v="September"/>
    <x v="1"/>
    <x v="2"/>
    <x v="3"/>
    <n v="8"/>
    <n v="22000"/>
    <n v="165000"/>
    <n v="150000"/>
    <n v="110.00000000000001"/>
  </r>
  <r>
    <n v="1047"/>
    <d v="2026-09-16T00:00:00"/>
    <s v="September"/>
    <x v="2"/>
    <x v="1"/>
    <x v="0"/>
    <n v="6"/>
    <n v="18000"/>
    <n v="165000"/>
    <n v="100000"/>
    <n v="165"/>
  </r>
  <r>
    <n v="1048"/>
    <d v="2026-09-17T00:00:00"/>
    <s v="September"/>
    <x v="3"/>
    <x v="0"/>
    <x v="1"/>
    <n v="10"/>
    <n v="2500"/>
    <n v="165000"/>
    <n v="30000"/>
    <n v="550"/>
  </r>
  <r>
    <n v="1049"/>
    <d v="2026-09-18T00:00:00"/>
    <s v="September"/>
    <x v="0"/>
    <x v="0"/>
    <x v="2"/>
    <n v="4"/>
    <n v="55000"/>
    <n v="165000"/>
    <n v="200000"/>
    <n v="82.5"/>
  </r>
  <r>
    <n v="1050"/>
    <d v="2026-09-19T00:00:00"/>
    <s v="September"/>
    <x v="1"/>
    <x v="1"/>
    <x v="0"/>
    <n v="7"/>
    <n v="22000"/>
    <n v="165000"/>
    <n v="150000"/>
    <n v="110.0000000000000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x v="0"/>
    <d v="2026-08-01T00:00:00"/>
    <s v="August"/>
    <x v="0"/>
    <x v="0"/>
    <s v="Rahul"/>
    <n v="3"/>
    <n v="55000"/>
    <n v="165000"/>
    <n v="200000"/>
    <n v="82.5"/>
  </r>
  <r>
    <n v="1002"/>
    <x v="1"/>
    <d v="2026-08-02T00:00:00"/>
    <s v="August"/>
    <x v="1"/>
    <x v="1"/>
    <s v="Priya"/>
    <n v="5"/>
    <n v="22000"/>
    <n v="165000"/>
    <n v="150000"/>
    <n v="110.00000000000001"/>
  </r>
  <r>
    <n v="1003"/>
    <x v="2"/>
    <d v="2026-08-03T00:00:00"/>
    <s v="August"/>
    <x v="2"/>
    <x v="2"/>
    <s v="Amit"/>
    <n v="4"/>
    <n v="18000"/>
    <n v="165000"/>
    <n v="100000"/>
    <n v="165"/>
  </r>
  <r>
    <n v="1004"/>
    <x v="3"/>
    <d v="2026-08-04T00:00:00"/>
    <s v="August"/>
    <x v="3"/>
    <x v="3"/>
    <s v="Sneha"/>
    <n v="8"/>
    <n v="2500"/>
    <n v="165000"/>
    <n v="30000"/>
    <n v="550"/>
  </r>
  <r>
    <n v="1005"/>
    <x v="4"/>
    <d v="2026-08-05T00:00:00"/>
    <s v="August"/>
    <x v="0"/>
    <x v="1"/>
    <s v="Rahul"/>
    <n v="2"/>
    <n v="55000"/>
    <n v="165000"/>
    <n v="200000"/>
    <n v="82.5"/>
  </r>
  <r>
    <n v="1006"/>
    <x v="5"/>
    <d v="2026-08-06T00:00:00"/>
    <s v="August"/>
    <x v="1"/>
    <x v="0"/>
    <s v="Amit"/>
    <n v="7"/>
    <n v="22000"/>
    <n v="165000"/>
    <n v="150000"/>
    <n v="110.00000000000001"/>
  </r>
  <r>
    <n v="1007"/>
    <x v="6"/>
    <d v="2026-08-07T00:00:00"/>
    <s v="August"/>
    <x v="2"/>
    <x v="3"/>
    <s v="Priya"/>
    <n v="6"/>
    <n v="18000"/>
    <n v="165000"/>
    <n v="100000"/>
    <n v="165"/>
  </r>
  <r>
    <n v="1008"/>
    <x v="7"/>
    <d v="2026-08-08T00:00:00"/>
    <s v="August"/>
    <x v="3"/>
    <x v="2"/>
    <s v="Sneha"/>
    <n v="10"/>
    <n v="2500"/>
    <n v="165000"/>
    <n v="30000"/>
    <n v="550"/>
  </r>
  <r>
    <n v="1009"/>
    <x v="8"/>
    <d v="2026-08-09T00:00:00"/>
    <s v="August"/>
    <x v="0"/>
    <x v="2"/>
    <s v="Amit"/>
    <n v="4"/>
    <n v="55000"/>
    <n v="165000"/>
    <n v="200000"/>
    <n v="82.5"/>
  </r>
  <r>
    <n v="1010"/>
    <x v="9"/>
    <d v="2026-08-10T00:00:00"/>
    <s v="August"/>
    <x v="1"/>
    <x v="3"/>
    <s v="Rahul"/>
    <n v="3"/>
    <n v="22000"/>
    <n v="165000"/>
    <n v="150000"/>
    <n v="110.00000000000001"/>
  </r>
  <r>
    <n v="1011"/>
    <x v="0"/>
    <d v="2026-08-11T00:00:00"/>
    <s v="August"/>
    <x v="2"/>
    <x v="0"/>
    <s v="Sneha"/>
    <n v="5"/>
    <n v="18000"/>
    <n v="165000"/>
    <n v="100000"/>
    <n v="165"/>
  </r>
  <r>
    <n v="1012"/>
    <x v="1"/>
    <d v="2026-08-12T00:00:00"/>
    <s v="August"/>
    <x v="3"/>
    <x v="1"/>
    <s v="Priya"/>
    <n v="12"/>
    <n v="2500"/>
    <n v="165000"/>
    <n v="30000"/>
    <n v="550"/>
  </r>
  <r>
    <n v="1013"/>
    <x v="2"/>
    <d v="2026-08-13T00:00:00"/>
    <s v="August"/>
    <x v="0"/>
    <x v="3"/>
    <s v="Priya"/>
    <n v="2"/>
    <n v="55000"/>
    <n v="165000"/>
    <n v="200000"/>
    <n v="82.5"/>
  </r>
  <r>
    <n v="1014"/>
    <x v="3"/>
    <d v="2026-08-14T00:00:00"/>
    <s v="August"/>
    <x v="1"/>
    <x v="2"/>
    <s v="Sneha"/>
    <n v="6"/>
    <n v="22000"/>
    <n v="165000"/>
    <n v="150000"/>
    <n v="110.00000000000001"/>
  </r>
  <r>
    <n v="1015"/>
    <x v="4"/>
    <d v="2026-08-15T00:00:00"/>
    <s v="August"/>
    <x v="2"/>
    <x v="1"/>
    <s v="Rahul"/>
    <n v="7"/>
    <n v="18000"/>
    <n v="165000"/>
    <n v="100000"/>
    <n v="165"/>
  </r>
  <r>
    <n v="1016"/>
    <x v="5"/>
    <d v="2026-08-16T00:00:00"/>
    <s v="August"/>
    <x v="3"/>
    <x v="0"/>
    <s v="Amit"/>
    <n v="9"/>
    <n v="2500"/>
    <n v="165000"/>
    <n v="30000"/>
    <n v="550"/>
  </r>
  <r>
    <n v="1017"/>
    <x v="6"/>
    <d v="2026-08-17T00:00:00"/>
    <s v="August"/>
    <x v="0"/>
    <x v="0"/>
    <s v="Sneha"/>
    <n v="5"/>
    <n v="55000"/>
    <n v="165000"/>
    <n v="200000"/>
    <n v="82.5"/>
  </r>
  <r>
    <n v="1018"/>
    <x v="7"/>
    <d v="2026-08-18T00:00:00"/>
    <s v="August"/>
    <x v="1"/>
    <x v="1"/>
    <s v="Amit"/>
    <n v="4"/>
    <n v="22000"/>
    <n v="165000"/>
    <n v="150000"/>
    <n v="110.00000000000001"/>
  </r>
  <r>
    <n v="1019"/>
    <x v="8"/>
    <d v="2026-08-19T00:00:00"/>
    <s v="August"/>
    <x v="2"/>
    <x v="2"/>
    <s v="Rahul"/>
    <n v="8"/>
    <n v="18000"/>
    <n v="165000"/>
    <n v="100000"/>
    <n v="165"/>
  </r>
  <r>
    <n v="1020"/>
    <x v="9"/>
    <d v="2026-08-20T00:00:00"/>
    <s v="August"/>
    <x v="3"/>
    <x v="3"/>
    <s v="Priya"/>
    <n v="15"/>
    <n v="2500"/>
    <n v="165000"/>
    <n v="30000"/>
    <n v="550"/>
  </r>
  <r>
    <n v="1021"/>
    <x v="0"/>
    <d v="2026-08-21T00:00:00"/>
    <s v="August"/>
    <x v="0"/>
    <x v="1"/>
    <s v="Amit"/>
    <n v="3"/>
    <n v="55000"/>
    <n v="165000"/>
    <n v="200000"/>
    <n v="82.5"/>
  </r>
  <r>
    <n v="1022"/>
    <x v="1"/>
    <d v="2026-08-22T00:00:00"/>
    <s v="August"/>
    <x v="1"/>
    <x v="0"/>
    <s v="Priya"/>
    <n v="8"/>
    <n v="22000"/>
    <n v="165000"/>
    <n v="150000"/>
    <n v="110.00000000000001"/>
  </r>
  <r>
    <n v="1023"/>
    <x v="2"/>
    <d v="2026-08-23T00:00:00"/>
    <s v="August"/>
    <x v="2"/>
    <x v="3"/>
    <s v="Sneha"/>
    <n v="4"/>
    <n v="18000"/>
    <n v="165000"/>
    <n v="100000"/>
    <n v="165"/>
  </r>
  <r>
    <n v="1024"/>
    <x v="3"/>
    <d v="2026-08-24T00:00:00"/>
    <s v="August"/>
    <x v="3"/>
    <x v="2"/>
    <s v="Rahul"/>
    <n v="11"/>
    <n v="2500"/>
    <n v="165000"/>
    <n v="30000"/>
    <n v="550"/>
  </r>
  <r>
    <n v="1025"/>
    <x v="4"/>
    <d v="2026-08-25T00:00:00"/>
    <s v="August"/>
    <x v="0"/>
    <x v="2"/>
    <s v="Priya"/>
    <n v="2"/>
    <n v="55000"/>
    <n v="165000"/>
    <n v="200000"/>
    <n v="82.5"/>
  </r>
  <r>
    <n v="1026"/>
    <x v="5"/>
    <d v="2026-08-26T00:00:00"/>
    <s v="August"/>
    <x v="1"/>
    <x v="3"/>
    <s v="Amit"/>
    <n v="5"/>
    <n v="22000"/>
    <n v="165000"/>
    <n v="150000"/>
    <n v="110.00000000000001"/>
  </r>
  <r>
    <n v="1027"/>
    <x v="6"/>
    <d v="2026-08-27T00:00:00"/>
    <s v="August"/>
    <x v="2"/>
    <x v="0"/>
    <s v="Rahul"/>
    <n v="6"/>
    <n v="18000"/>
    <n v="165000"/>
    <n v="100000"/>
    <n v="165"/>
  </r>
  <r>
    <n v="1028"/>
    <x v="7"/>
    <d v="2026-08-28T00:00:00"/>
    <s v="August"/>
    <x v="3"/>
    <x v="1"/>
    <s v="Sneha"/>
    <n v="14"/>
    <n v="2500"/>
    <n v="165000"/>
    <n v="30000"/>
    <n v="550"/>
  </r>
  <r>
    <n v="1029"/>
    <x v="8"/>
    <d v="2026-08-29T00:00:00"/>
    <s v="August"/>
    <x v="0"/>
    <x v="3"/>
    <s v="Sneha"/>
    <n v="4"/>
    <n v="55000"/>
    <n v="165000"/>
    <n v="200000"/>
    <n v="82.5"/>
  </r>
  <r>
    <n v="1030"/>
    <x v="9"/>
    <d v="2026-08-30T00:00:00"/>
    <s v="August"/>
    <x v="1"/>
    <x v="2"/>
    <s v="Rahul"/>
    <n v="7"/>
    <n v="22000"/>
    <n v="165000"/>
    <n v="150000"/>
    <n v="110.00000000000001"/>
  </r>
  <r>
    <n v="1031"/>
    <x v="0"/>
    <d v="2026-08-31T00:00:00"/>
    <s v="August"/>
    <x v="2"/>
    <x v="1"/>
    <s v="Priya"/>
    <n v="5"/>
    <n v="18000"/>
    <n v="165000"/>
    <n v="100000"/>
    <n v="165"/>
  </r>
  <r>
    <n v="1032"/>
    <x v="1"/>
    <d v="2026-09-01T00:00:00"/>
    <s v="September"/>
    <x v="3"/>
    <x v="0"/>
    <s v="Amit"/>
    <n v="13"/>
    <n v="2500"/>
    <n v="165000"/>
    <n v="30000"/>
    <n v="550"/>
  </r>
  <r>
    <n v="1033"/>
    <x v="2"/>
    <d v="2026-09-02T00:00:00"/>
    <s v="September"/>
    <x v="0"/>
    <x v="0"/>
    <s v="Priya"/>
    <n v="3"/>
    <n v="55000"/>
    <n v="165000"/>
    <n v="200000"/>
    <n v="82.5"/>
  </r>
  <r>
    <n v="1034"/>
    <x v="3"/>
    <d v="2026-09-03T00:00:00"/>
    <s v="September"/>
    <x v="1"/>
    <x v="1"/>
    <s v="Sneha"/>
    <n v="6"/>
    <n v="22000"/>
    <n v="165000"/>
    <n v="150000"/>
    <n v="110.00000000000001"/>
  </r>
  <r>
    <n v="1035"/>
    <x v="4"/>
    <d v="2026-09-04T00:00:00"/>
    <s v="September"/>
    <x v="2"/>
    <x v="2"/>
    <s v="Amit"/>
    <n v="9"/>
    <n v="18000"/>
    <n v="165000"/>
    <n v="100000"/>
    <n v="165"/>
  </r>
  <r>
    <n v="1036"/>
    <x v="5"/>
    <d v="2026-09-05T00:00:00"/>
    <s v="September"/>
    <x v="3"/>
    <x v="3"/>
    <s v="Rahul"/>
    <n v="16"/>
    <n v="2500"/>
    <n v="165000"/>
    <n v="30000"/>
    <n v="550"/>
  </r>
  <r>
    <n v="1037"/>
    <x v="6"/>
    <d v="2026-09-06T00:00:00"/>
    <s v="September"/>
    <x v="0"/>
    <x v="1"/>
    <s v="Sneha"/>
    <n v="2"/>
    <n v="55000"/>
    <n v="165000"/>
    <n v="200000"/>
    <n v="82.5"/>
  </r>
  <r>
    <n v="1038"/>
    <x v="7"/>
    <d v="2026-09-07T00:00:00"/>
    <s v="September"/>
    <x v="1"/>
    <x v="0"/>
    <s v="Rahul"/>
    <n v="9"/>
    <n v="22000"/>
    <n v="165000"/>
    <n v="150000"/>
    <n v="110.00000000000001"/>
  </r>
  <r>
    <n v="1039"/>
    <x v="8"/>
    <d v="2026-09-08T00:00:00"/>
    <s v="September"/>
    <x v="2"/>
    <x v="3"/>
    <s v="Amit"/>
    <n v="6"/>
    <n v="18000"/>
    <n v="165000"/>
    <n v="100000"/>
    <n v="165"/>
  </r>
  <r>
    <n v="1040"/>
    <x v="9"/>
    <d v="2026-09-09T00:00:00"/>
    <s v="September"/>
    <x v="3"/>
    <x v="2"/>
    <s v="Priya"/>
    <n v="12"/>
    <n v="2500"/>
    <n v="165000"/>
    <n v="30000"/>
    <n v="550"/>
  </r>
  <r>
    <n v="1041"/>
    <x v="0"/>
    <d v="2026-09-10T00:00:00"/>
    <s v="September"/>
    <x v="0"/>
    <x v="2"/>
    <s v="Rahul"/>
    <n v="5"/>
    <n v="55000"/>
    <n v="165000"/>
    <n v="200000"/>
    <n v="82.5"/>
  </r>
  <r>
    <n v="1042"/>
    <x v="1"/>
    <d v="2026-09-11T00:00:00"/>
    <s v="September"/>
    <x v="1"/>
    <x v="3"/>
    <s v="Priya"/>
    <n v="4"/>
    <n v="22000"/>
    <n v="165000"/>
    <n v="150000"/>
    <n v="110.00000000000001"/>
  </r>
  <r>
    <n v="1043"/>
    <x v="2"/>
    <d v="2026-09-12T00:00:00"/>
    <s v="September"/>
    <x v="2"/>
    <x v="0"/>
    <s v="Sneha"/>
    <n v="7"/>
    <n v="18000"/>
    <n v="165000"/>
    <n v="100000"/>
    <n v="165"/>
  </r>
  <r>
    <n v="1044"/>
    <x v="3"/>
    <d v="2026-09-13T00:00:00"/>
    <s v="September"/>
    <x v="3"/>
    <x v="1"/>
    <s v="Amit"/>
    <n v="18"/>
    <n v="2500"/>
    <n v="165000"/>
    <n v="30000"/>
    <n v="550"/>
  </r>
  <r>
    <n v="1045"/>
    <x v="4"/>
    <d v="2026-09-14T00:00:00"/>
    <s v="September"/>
    <x v="0"/>
    <x v="3"/>
    <s v="Amit"/>
    <n v="3"/>
    <n v="55000"/>
    <n v="165000"/>
    <n v="200000"/>
    <n v="82.5"/>
  </r>
  <r>
    <n v="1046"/>
    <x v="5"/>
    <d v="2026-09-15T00:00:00"/>
    <s v="September"/>
    <x v="1"/>
    <x v="2"/>
    <s v="Sneha"/>
    <n v="8"/>
    <n v="22000"/>
    <n v="165000"/>
    <n v="150000"/>
    <n v="110.00000000000001"/>
  </r>
  <r>
    <n v="1047"/>
    <x v="6"/>
    <d v="2026-09-16T00:00:00"/>
    <s v="September"/>
    <x v="2"/>
    <x v="1"/>
    <s v="Rahul"/>
    <n v="6"/>
    <n v="18000"/>
    <n v="165000"/>
    <n v="100000"/>
    <n v="165"/>
  </r>
  <r>
    <n v="1048"/>
    <x v="7"/>
    <d v="2026-09-17T00:00:00"/>
    <s v="September"/>
    <x v="3"/>
    <x v="0"/>
    <s v="Priya"/>
    <n v="10"/>
    <n v="2500"/>
    <n v="165000"/>
    <n v="30000"/>
    <n v="550"/>
  </r>
  <r>
    <n v="1049"/>
    <x v="8"/>
    <d v="2026-09-18T00:00:00"/>
    <s v="September"/>
    <x v="0"/>
    <x v="0"/>
    <s v="Amit"/>
    <n v="4"/>
    <n v="55000"/>
    <n v="165000"/>
    <n v="200000"/>
    <n v="82.5"/>
  </r>
  <r>
    <n v="1050"/>
    <x v="9"/>
    <d v="2026-09-19T00:00:00"/>
    <s v="September"/>
    <x v="1"/>
    <x v="1"/>
    <s v="Rahul"/>
    <n v="7"/>
    <n v="22000"/>
    <n v="165000"/>
    <n v="150000"/>
    <n v="110.0000000000000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x v="0"/>
    <d v="2026-08-01T00:00:00"/>
    <s v="August"/>
    <x v="0"/>
    <x v="0"/>
    <s v="Rahul"/>
    <n v="3"/>
    <n v="55000"/>
    <n v="165000"/>
    <n v="200000"/>
    <n v="82.5"/>
  </r>
  <r>
    <n v="1002"/>
    <x v="1"/>
    <d v="2026-08-02T00:00:00"/>
    <s v="August"/>
    <x v="1"/>
    <x v="1"/>
    <s v="Priya"/>
    <n v="5"/>
    <n v="22000"/>
    <n v="165000"/>
    <n v="150000"/>
    <n v="110.00000000000001"/>
  </r>
  <r>
    <n v="1003"/>
    <x v="2"/>
    <d v="2026-08-03T00:00:00"/>
    <s v="August"/>
    <x v="2"/>
    <x v="2"/>
    <s v="Amit"/>
    <n v="4"/>
    <n v="18000"/>
    <n v="165000"/>
    <n v="100000"/>
    <n v="165"/>
  </r>
  <r>
    <n v="1004"/>
    <x v="3"/>
    <d v="2026-08-04T00:00:00"/>
    <s v="August"/>
    <x v="3"/>
    <x v="3"/>
    <s v="Sneha"/>
    <n v="8"/>
    <n v="2500"/>
    <n v="165000"/>
    <n v="30000"/>
    <n v="550"/>
  </r>
  <r>
    <n v="1005"/>
    <x v="4"/>
    <d v="2026-08-05T00:00:00"/>
    <s v="August"/>
    <x v="0"/>
    <x v="1"/>
    <s v="Rahul"/>
    <n v="2"/>
    <n v="55000"/>
    <n v="165000"/>
    <n v="200000"/>
    <n v="82.5"/>
  </r>
  <r>
    <n v="1006"/>
    <x v="5"/>
    <d v="2026-08-06T00:00:00"/>
    <s v="August"/>
    <x v="1"/>
    <x v="0"/>
    <s v="Amit"/>
    <n v="7"/>
    <n v="22000"/>
    <n v="165000"/>
    <n v="150000"/>
    <n v="110.00000000000001"/>
  </r>
  <r>
    <n v="1007"/>
    <x v="6"/>
    <d v="2026-08-07T00:00:00"/>
    <s v="August"/>
    <x v="2"/>
    <x v="3"/>
    <s v="Priya"/>
    <n v="6"/>
    <n v="18000"/>
    <n v="165000"/>
    <n v="100000"/>
    <n v="165"/>
  </r>
  <r>
    <n v="1008"/>
    <x v="7"/>
    <d v="2026-08-08T00:00:00"/>
    <s v="August"/>
    <x v="3"/>
    <x v="2"/>
    <s v="Sneha"/>
    <n v="10"/>
    <n v="2500"/>
    <n v="165000"/>
    <n v="30000"/>
    <n v="550"/>
  </r>
  <r>
    <n v="1009"/>
    <x v="8"/>
    <d v="2026-08-09T00:00:00"/>
    <s v="August"/>
    <x v="0"/>
    <x v="2"/>
    <s v="Amit"/>
    <n v="4"/>
    <n v="55000"/>
    <n v="165000"/>
    <n v="200000"/>
    <n v="82.5"/>
  </r>
  <r>
    <n v="1010"/>
    <x v="9"/>
    <d v="2026-08-10T00:00:00"/>
    <s v="August"/>
    <x v="1"/>
    <x v="3"/>
    <s v="Rahul"/>
    <n v="3"/>
    <n v="22000"/>
    <n v="165000"/>
    <n v="150000"/>
    <n v="110.00000000000001"/>
  </r>
  <r>
    <n v="1011"/>
    <x v="0"/>
    <d v="2026-08-11T00:00:00"/>
    <s v="August"/>
    <x v="2"/>
    <x v="0"/>
    <s v="Sneha"/>
    <n v="5"/>
    <n v="18000"/>
    <n v="165000"/>
    <n v="100000"/>
    <n v="165"/>
  </r>
  <r>
    <n v="1012"/>
    <x v="1"/>
    <d v="2026-08-12T00:00:00"/>
    <s v="August"/>
    <x v="3"/>
    <x v="1"/>
    <s v="Priya"/>
    <n v="12"/>
    <n v="2500"/>
    <n v="165000"/>
    <n v="30000"/>
    <n v="550"/>
  </r>
  <r>
    <n v="1013"/>
    <x v="2"/>
    <d v="2026-08-13T00:00:00"/>
    <s v="August"/>
    <x v="0"/>
    <x v="3"/>
    <s v="Priya"/>
    <n v="2"/>
    <n v="55000"/>
    <n v="165000"/>
    <n v="200000"/>
    <n v="82.5"/>
  </r>
  <r>
    <n v="1014"/>
    <x v="3"/>
    <d v="2026-08-14T00:00:00"/>
    <s v="August"/>
    <x v="1"/>
    <x v="2"/>
    <s v="Sneha"/>
    <n v="6"/>
    <n v="22000"/>
    <n v="165000"/>
    <n v="150000"/>
    <n v="110.00000000000001"/>
  </r>
  <r>
    <n v="1015"/>
    <x v="4"/>
    <d v="2026-08-15T00:00:00"/>
    <s v="August"/>
    <x v="2"/>
    <x v="1"/>
    <s v="Rahul"/>
    <n v="7"/>
    <n v="18000"/>
    <n v="165000"/>
    <n v="100000"/>
    <n v="165"/>
  </r>
  <r>
    <n v="1016"/>
    <x v="5"/>
    <d v="2026-08-16T00:00:00"/>
    <s v="August"/>
    <x v="3"/>
    <x v="0"/>
    <s v="Amit"/>
    <n v="9"/>
    <n v="2500"/>
    <n v="165000"/>
    <n v="30000"/>
    <n v="550"/>
  </r>
  <r>
    <n v="1017"/>
    <x v="6"/>
    <d v="2026-08-17T00:00:00"/>
    <s v="August"/>
    <x v="0"/>
    <x v="0"/>
    <s v="Sneha"/>
    <n v="5"/>
    <n v="55000"/>
    <n v="165000"/>
    <n v="200000"/>
    <n v="82.5"/>
  </r>
  <r>
    <n v="1018"/>
    <x v="7"/>
    <d v="2026-08-18T00:00:00"/>
    <s v="August"/>
    <x v="1"/>
    <x v="1"/>
    <s v="Amit"/>
    <n v="4"/>
    <n v="22000"/>
    <n v="165000"/>
    <n v="150000"/>
    <n v="110.00000000000001"/>
  </r>
  <r>
    <n v="1019"/>
    <x v="8"/>
    <d v="2026-08-19T00:00:00"/>
    <s v="August"/>
    <x v="2"/>
    <x v="2"/>
    <s v="Rahul"/>
    <n v="8"/>
    <n v="18000"/>
    <n v="165000"/>
    <n v="100000"/>
    <n v="165"/>
  </r>
  <r>
    <n v="1020"/>
    <x v="9"/>
    <d v="2026-08-20T00:00:00"/>
    <s v="August"/>
    <x v="3"/>
    <x v="3"/>
    <s v="Priya"/>
    <n v="15"/>
    <n v="2500"/>
    <n v="165000"/>
    <n v="30000"/>
    <n v="550"/>
  </r>
  <r>
    <n v="1021"/>
    <x v="0"/>
    <d v="2026-08-21T00:00:00"/>
    <s v="August"/>
    <x v="0"/>
    <x v="1"/>
    <s v="Amit"/>
    <n v="3"/>
    <n v="55000"/>
    <n v="165000"/>
    <n v="200000"/>
    <n v="82.5"/>
  </r>
  <r>
    <n v="1022"/>
    <x v="1"/>
    <d v="2026-08-22T00:00:00"/>
    <s v="August"/>
    <x v="1"/>
    <x v="0"/>
    <s v="Priya"/>
    <n v="8"/>
    <n v="22000"/>
    <n v="165000"/>
    <n v="150000"/>
    <n v="110.00000000000001"/>
  </r>
  <r>
    <n v="1023"/>
    <x v="2"/>
    <d v="2026-08-23T00:00:00"/>
    <s v="August"/>
    <x v="2"/>
    <x v="3"/>
    <s v="Sneha"/>
    <n v="4"/>
    <n v="18000"/>
    <n v="165000"/>
    <n v="100000"/>
    <n v="165"/>
  </r>
  <r>
    <n v="1024"/>
    <x v="3"/>
    <d v="2026-08-24T00:00:00"/>
    <s v="August"/>
    <x v="3"/>
    <x v="2"/>
    <s v="Rahul"/>
    <n v="11"/>
    <n v="2500"/>
    <n v="165000"/>
    <n v="30000"/>
    <n v="550"/>
  </r>
  <r>
    <n v="1025"/>
    <x v="4"/>
    <d v="2026-08-25T00:00:00"/>
    <s v="August"/>
    <x v="0"/>
    <x v="2"/>
    <s v="Priya"/>
    <n v="2"/>
    <n v="55000"/>
    <n v="165000"/>
    <n v="200000"/>
    <n v="82.5"/>
  </r>
  <r>
    <n v="1026"/>
    <x v="5"/>
    <d v="2026-08-26T00:00:00"/>
    <s v="August"/>
    <x v="1"/>
    <x v="3"/>
    <s v="Amit"/>
    <n v="5"/>
    <n v="22000"/>
    <n v="165000"/>
    <n v="150000"/>
    <n v="110.00000000000001"/>
  </r>
  <r>
    <n v="1027"/>
    <x v="6"/>
    <d v="2026-08-27T00:00:00"/>
    <s v="August"/>
    <x v="2"/>
    <x v="0"/>
    <s v="Rahul"/>
    <n v="6"/>
    <n v="18000"/>
    <n v="165000"/>
    <n v="100000"/>
    <n v="165"/>
  </r>
  <r>
    <n v="1028"/>
    <x v="7"/>
    <d v="2026-08-28T00:00:00"/>
    <s v="August"/>
    <x v="3"/>
    <x v="1"/>
    <s v="Sneha"/>
    <n v="14"/>
    <n v="2500"/>
    <n v="165000"/>
    <n v="30000"/>
    <n v="550"/>
  </r>
  <r>
    <n v="1029"/>
    <x v="8"/>
    <d v="2026-08-29T00:00:00"/>
    <s v="August"/>
    <x v="0"/>
    <x v="3"/>
    <s v="Sneha"/>
    <n v="4"/>
    <n v="55000"/>
    <n v="165000"/>
    <n v="200000"/>
    <n v="82.5"/>
  </r>
  <r>
    <n v="1030"/>
    <x v="9"/>
    <d v="2026-08-30T00:00:00"/>
    <s v="August"/>
    <x v="1"/>
    <x v="2"/>
    <s v="Rahul"/>
    <n v="7"/>
    <n v="22000"/>
    <n v="165000"/>
    <n v="150000"/>
    <n v="110.00000000000001"/>
  </r>
  <r>
    <n v="1031"/>
    <x v="0"/>
    <d v="2026-08-31T00:00:00"/>
    <s v="August"/>
    <x v="2"/>
    <x v="1"/>
    <s v="Priya"/>
    <n v="5"/>
    <n v="18000"/>
    <n v="165000"/>
    <n v="100000"/>
    <n v="165"/>
  </r>
  <r>
    <n v="1032"/>
    <x v="1"/>
    <d v="2026-09-01T00:00:00"/>
    <s v="September"/>
    <x v="3"/>
    <x v="0"/>
    <s v="Amit"/>
    <n v="13"/>
    <n v="2500"/>
    <n v="165000"/>
    <n v="30000"/>
    <n v="550"/>
  </r>
  <r>
    <n v="1033"/>
    <x v="2"/>
    <d v="2026-09-02T00:00:00"/>
    <s v="September"/>
    <x v="0"/>
    <x v="0"/>
    <s v="Priya"/>
    <n v="3"/>
    <n v="55000"/>
    <n v="165000"/>
    <n v="200000"/>
    <n v="82.5"/>
  </r>
  <r>
    <n v="1034"/>
    <x v="3"/>
    <d v="2026-09-03T00:00:00"/>
    <s v="September"/>
    <x v="1"/>
    <x v="1"/>
    <s v="Sneha"/>
    <n v="6"/>
    <n v="22000"/>
    <n v="165000"/>
    <n v="150000"/>
    <n v="110.00000000000001"/>
  </r>
  <r>
    <n v="1035"/>
    <x v="4"/>
    <d v="2026-09-04T00:00:00"/>
    <s v="September"/>
    <x v="2"/>
    <x v="2"/>
    <s v="Amit"/>
    <n v="9"/>
    <n v="18000"/>
    <n v="165000"/>
    <n v="100000"/>
    <n v="165"/>
  </r>
  <r>
    <n v="1036"/>
    <x v="5"/>
    <d v="2026-09-05T00:00:00"/>
    <s v="September"/>
    <x v="3"/>
    <x v="3"/>
    <s v="Rahul"/>
    <n v="16"/>
    <n v="2500"/>
    <n v="165000"/>
    <n v="30000"/>
    <n v="550"/>
  </r>
  <r>
    <n v="1037"/>
    <x v="6"/>
    <d v="2026-09-06T00:00:00"/>
    <s v="September"/>
    <x v="0"/>
    <x v="1"/>
    <s v="Sneha"/>
    <n v="2"/>
    <n v="55000"/>
    <n v="165000"/>
    <n v="200000"/>
    <n v="82.5"/>
  </r>
  <r>
    <n v="1038"/>
    <x v="7"/>
    <d v="2026-09-07T00:00:00"/>
    <s v="September"/>
    <x v="1"/>
    <x v="0"/>
    <s v="Rahul"/>
    <n v="9"/>
    <n v="22000"/>
    <n v="165000"/>
    <n v="150000"/>
    <n v="110.00000000000001"/>
  </r>
  <r>
    <n v="1039"/>
    <x v="8"/>
    <d v="2026-09-08T00:00:00"/>
    <s v="September"/>
    <x v="2"/>
    <x v="3"/>
    <s v="Amit"/>
    <n v="6"/>
    <n v="18000"/>
    <n v="165000"/>
    <n v="100000"/>
    <n v="165"/>
  </r>
  <r>
    <n v="1040"/>
    <x v="9"/>
    <d v="2026-09-09T00:00:00"/>
    <s v="September"/>
    <x v="3"/>
    <x v="2"/>
    <s v="Priya"/>
    <n v="12"/>
    <n v="2500"/>
    <n v="165000"/>
    <n v="30000"/>
    <n v="550"/>
  </r>
  <r>
    <n v="1041"/>
    <x v="0"/>
    <d v="2026-09-10T00:00:00"/>
    <s v="September"/>
    <x v="0"/>
    <x v="2"/>
    <s v="Rahul"/>
    <n v="5"/>
    <n v="55000"/>
    <n v="165000"/>
    <n v="200000"/>
    <n v="82.5"/>
  </r>
  <r>
    <n v="1042"/>
    <x v="1"/>
    <d v="2026-09-11T00:00:00"/>
    <s v="September"/>
    <x v="1"/>
    <x v="3"/>
    <s v="Priya"/>
    <n v="4"/>
    <n v="22000"/>
    <n v="165000"/>
    <n v="150000"/>
    <n v="110.00000000000001"/>
  </r>
  <r>
    <n v="1043"/>
    <x v="2"/>
    <d v="2026-09-12T00:00:00"/>
    <s v="September"/>
    <x v="2"/>
    <x v="0"/>
    <s v="Sneha"/>
    <n v="7"/>
    <n v="18000"/>
    <n v="165000"/>
    <n v="100000"/>
    <n v="165"/>
  </r>
  <r>
    <n v="1044"/>
    <x v="3"/>
    <d v="2026-09-13T00:00:00"/>
    <s v="September"/>
    <x v="3"/>
    <x v="1"/>
    <s v="Amit"/>
    <n v="18"/>
    <n v="2500"/>
    <n v="165000"/>
    <n v="30000"/>
    <n v="550"/>
  </r>
  <r>
    <n v="1045"/>
    <x v="4"/>
    <d v="2026-09-14T00:00:00"/>
    <s v="September"/>
    <x v="0"/>
    <x v="3"/>
    <s v="Amit"/>
    <n v="3"/>
    <n v="55000"/>
    <n v="165000"/>
    <n v="200000"/>
    <n v="82.5"/>
  </r>
  <r>
    <n v="1046"/>
    <x v="5"/>
    <d v="2026-09-15T00:00:00"/>
    <s v="September"/>
    <x v="1"/>
    <x v="2"/>
    <s v="Sneha"/>
    <n v="8"/>
    <n v="22000"/>
    <n v="165000"/>
    <n v="150000"/>
    <n v="110.00000000000001"/>
  </r>
  <r>
    <n v="1047"/>
    <x v="6"/>
    <d v="2026-09-16T00:00:00"/>
    <s v="September"/>
    <x v="2"/>
    <x v="1"/>
    <s v="Rahul"/>
    <n v="6"/>
    <n v="18000"/>
    <n v="165000"/>
    <n v="100000"/>
    <n v="165"/>
  </r>
  <r>
    <n v="1048"/>
    <x v="7"/>
    <d v="2026-09-17T00:00:00"/>
    <s v="September"/>
    <x v="3"/>
    <x v="0"/>
    <s v="Priya"/>
    <n v="10"/>
    <n v="2500"/>
    <n v="165000"/>
    <n v="30000"/>
    <n v="550"/>
  </r>
  <r>
    <n v="1049"/>
    <x v="8"/>
    <d v="2026-09-18T00:00:00"/>
    <s v="September"/>
    <x v="0"/>
    <x v="0"/>
    <s v="Amit"/>
    <n v="4"/>
    <n v="55000"/>
    <n v="165000"/>
    <n v="200000"/>
    <n v="82.5"/>
  </r>
  <r>
    <n v="1050"/>
    <x v="9"/>
    <d v="2026-09-19T00:00:00"/>
    <s v="September"/>
    <x v="1"/>
    <x v="1"/>
    <s v="Rahul"/>
    <n v="7"/>
    <n v="22000"/>
    <n v="165000"/>
    <n v="150000"/>
    <n v="110.0000000000000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6-08-01T00:00:00"/>
    <s v="August"/>
    <x v="0"/>
    <s v="North"/>
    <s v="Rahul"/>
    <n v="3"/>
    <n v="55000"/>
    <n v="165000"/>
    <n v="42000"/>
    <n v="39000"/>
    <n v="200000"/>
    <n v="82.5"/>
    <n v="0.23636363636363636"/>
  </r>
  <r>
    <n v="1002"/>
    <d v="2026-08-02T00:00:00"/>
    <s v="August"/>
    <x v="1"/>
    <s v="South"/>
    <s v="Priya"/>
    <n v="5"/>
    <n v="22000"/>
    <n v="165000"/>
    <n v="14000"/>
    <n v="95000"/>
    <n v="150000"/>
    <n v="110.00000000000001"/>
    <n v="0.5757575757575758"/>
  </r>
  <r>
    <n v="1003"/>
    <d v="2026-08-03T00:00:00"/>
    <s v="August"/>
    <x v="2"/>
    <s v="East"/>
    <s v="Amit"/>
    <n v="4"/>
    <n v="18000"/>
    <n v="165000"/>
    <n v="25000"/>
    <n v="65000"/>
    <n v="100000"/>
    <n v="165"/>
    <n v="0.39393939393939392"/>
  </r>
  <r>
    <n v="1004"/>
    <d v="2026-08-04T00:00:00"/>
    <s v="August"/>
    <x v="3"/>
    <s v="West"/>
    <s v="Sneha"/>
    <n v="8"/>
    <n v="2500"/>
    <n v="165000"/>
    <n v="2000"/>
    <n v="149000"/>
    <n v="30000"/>
    <n v="550"/>
    <n v="0.90303030303030307"/>
  </r>
  <r>
    <n v="1005"/>
    <d v="2026-08-05T00:00:00"/>
    <s v="August"/>
    <x v="0"/>
    <s v="South"/>
    <s v="Rahul"/>
    <n v="2"/>
    <n v="55000"/>
    <n v="165000"/>
    <n v="42000"/>
    <n v="81000"/>
    <n v="200000"/>
    <n v="82.5"/>
    <n v="0.49090909090909091"/>
  </r>
  <r>
    <n v="1006"/>
    <d v="2026-08-06T00:00:00"/>
    <s v="August"/>
    <x v="1"/>
    <s v="North"/>
    <s v="Amit"/>
    <n v="7"/>
    <n v="22000"/>
    <n v="165000"/>
    <n v="14000"/>
    <n v="67000"/>
    <n v="150000"/>
    <n v="110.00000000000001"/>
    <n v="0.40606060606060607"/>
  </r>
  <r>
    <n v="1007"/>
    <d v="2026-08-07T00:00:00"/>
    <s v="August"/>
    <x v="2"/>
    <s v="West"/>
    <s v="Priya"/>
    <n v="6"/>
    <n v="18000"/>
    <n v="165000"/>
    <n v="25000"/>
    <n v="15000"/>
    <n v="100000"/>
    <n v="165"/>
    <n v="9.0909090909090912E-2"/>
  </r>
  <r>
    <n v="1008"/>
    <d v="2026-08-08T00:00:00"/>
    <s v="August"/>
    <x v="3"/>
    <s v="East"/>
    <s v="Sneha"/>
    <n v="10"/>
    <n v="2500"/>
    <n v="165000"/>
    <n v="2000"/>
    <n v="145000"/>
    <n v="30000"/>
    <n v="550"/>
    <n v="0.87878787878787878"/>
  </r>
  <r>
    <n v="1009"/>
    <d v="2026-08-09T00:00:00"/>
    <s v="August"/>
    <x v="0"/>
    <s v="East"/>
    <s v="Amit"/>
    <n v="4"/>
    <n v="55000"/>
    <n v="165000"/>
    <n v="42000"/>
    <n v="-3000"/>
    <n v="200000"/>
    <n v="82.5"/>
    <n v="-1.8181818181818181E-2"/>
  </r>
  <r>
    <n v="1010"/>
    <d v="2026-08-10T00:00:00"/>
    <s v="August"/>
    <x v="1"/>
    <s v="West"/>
    <s v="Rahul"/>
    <n v="3"/>
    <n v="22000"/>
    <n v="165000"/>
    <n v="14000"/>
    <n v="123000"/>
    <n v="150000"/>
    <n v="110.00000000000001"/>
    <n v="0.74545454545454548"/>
  </r>
  <r>
    <n v="1011"/>
    <d v="2026-08-11T00:00:00"/>
    <s v="August"/>
    <x v="2"/>
    <s v="North"/>
    <s v="Sneha"/>
    <n v="5"/>
    <n v="18000"/>
    <n v="165000"/>
    <n v="25000"/>
    <n v="40000"/>
    <n v="100000"/>
    <n v="165"/>
    <n v="0.24242424242424243"/>
  </r>
  <r>
    <n v="1012"/>
    <d v="2026-08-12T00:00:00"/>
    <s v="August"/>
    <x v="3"/>
    <s v="South"/>
    <s v="Priya"/>
    <n v="12"/>
    <n v="2500"/>
    <n v="165000"/>
    <n v="2000"/>
    <n v="141000"/>
    <n v="30000"/>
    <n v="550"/>
    <n v="0.8545454545454545"/>
  </r>
  <r>
    <n v="1013"/>
    <d v="2026-08-13T00:00:00"/>
    <s v="August"/>
    <x v="0"/>
    <s v="West"/>
    <s v="Priya"/>
    <n v="2"/>
    <n v="55000"/>
    <n v="165000"/>
    <n v="42000"/>
    <n v="81000"/>
    <n v="200000"/>
    <n v="82.5"/>
    <n v="0.49090909090909091"/>
  </r>
  <r>
    <n v="1014"/>
    <d v="2026-08-14T00:00:00"/>
    <s v="August"/>
    <x v="1"/>
    <s v="East"/>
    <s v="Sneha"/>
    <n v="6"/>
    <n v="22000"/>
    <n v="165000"/>
    <n v="14000"/>
    <n v="81000"/>
    <n v="150000"/>
    <n v="110.00000000000001"/>
    <n v="0.49090909090909091"/>
  </r>
  <r>
    <n v="1015"/>
    <d v="2026-08-15T00:00:00"/>
    <s v="August"/>
    <x v="2"/>
    <s v="South"/>
    <s v="Rahul"/>
    <n v="7"/>
    <n v="18000"/>
    <n v="165000"/>
    <n v="25000"/>
    <n v="-10000"/>
    <n v="100000"/>
    <n v="165"/>
    <n v="-6.0606060606060608E-2"/>
  </r>
  <r>
    <n v="1016"/>
    <d v="2026-08-16T00:00:00"/>
    <s v="August"/>
    <x v="3"/>
    <s v="North"/>
    <s v="Amit"/>
    <n v="9"/>
    <n v="2500"/>
    <n v="165000"/>
    <n v="2000"/>
    <n v="147000"/>
    <n v="30000"/>
    <n v="550"/>
    <n v="0.89090909090909087"/>
  </r>
  <r>
    <n v="1017"/>
    <d v="2026-08-17T00:00:00"/>
    <s v="August"/>
    <x v="0"/>
    <s v="North"/>
    <s v="Sneha"/>
    <n v="5"/>
    <n v="55000"/>
    <n v="165000"/>
    <n v="42000"/>
    <n v="-45000"/>
    <n v="200000"/>
    <n v="82.5"/>
    <n v="-0.27272727272727271"/>
  </r>
  <r>
    <n v="1018"/>
    <d v="2026-08-18T00:00:00"/>
    <s v="August"/>
    <x v="1"/>
    <s v="South"/>
    <s v="Amit"/>
    <n v="4"/>
    <n v="22000"/>
    <n v="165000"/>
    <n v="14000"/>
    <n v="109000"/>
    <n v="150000"/>
    <n v="110.00000000000001"/>
    <n v="0.66060606060606064"/>
  </r>
  <r>
    <n v="1019"/>
    <d v="2026-08-19T00:00:00"/>
    <s v="August"/>
    <x v="2"/>
    <s v="East"/>
    <s v="Rahul"/>
    <n v="8"/>
    <n v="18000"/>
    <n v="165000"/>
    <n v="25000"/>
    <n v="-35000"/>
    <n v="100000"/>
    <n v="165"/>
    <n v="-0.21212121212121213"/>
  </r>
  <r>
    <n v="1020"/>
    <d v="2026-08-20T00:00:00"/>
    <s v="August"/>
    <x v="3"/>
    <s v="West"/>
    <s v="Priya"/>
    <n v="15"/>
    <n v="2500"/>
    <n v="165000"/>
    <n v="2000"/>
    <n v="135000"/>
    <n v="30000"/>
    <n v="550"/>
    <n v="0.81818181818181823"/>
  </r>
  <r>
    <n v="1021"/>
    <d v="2026-08-21T00:00:00"/>
    <s v="August"/>
    <x v="0"/>
    <s v="South"/>
    <s v="Amit"/>
    <n v="3"/>
    <n v="55000"/>
    <n v="165000"/>
    <n v="42000"/>
    <n v="39000"/>
    <n v="200000"/>
    <n v="82.5"/>
    <n v="0.23636363636363636"/>
  </r>
  <r>
    <n v="1022"/>
    <d v="2026-08-22T00:00:00"/>
    <s v="August"/>
    <x v="1"/>
    <s v="North"/>
    <s v="Priya"/>
    <n v="8"/>
    <n v="22000"/>
    <n v="165000"/>
    <n v="14000"/>
    <n v="53000"/>
    <n v="150000"/>
    <n v="110.00000000000001"/>
    <n v="0.32121212121212123"/>
  </r>
  <r>
    <n v="1023"/>
    <d v="2026-08-23T00:00:00"/>
    <s v="August"/>
    <x v="2"/>
    <s v="West"/>
    <s v="Sneha"/>
    <n v="4"/>
    <n v="18000"/>
    <n v="165000"/>
    <n v="25000"/>
    <n v="65000"/>
    <n v="100000"/>
    <n v="165"/>
    <n v="0.39393939393939392"/>
  </r>
  <r>
    <n v="1024"/>
    <d v="2026-08-24T00:00:00"/>
    <s v="August"/>
    <x v="3"/>
    <s v="East"/>
    <s v="Rahul"/>
    <n v="11"/>
    <n v="2500"/>
    <n v="165000"/>
    <n v="2000"/>
    <n v="143000"/>
    <n v="30000"/>
    <n v="550"/>
    <n v="0.8666666666666667"/>
  </r>
  <r>
    <n v="1025"/>
    <d v="2026-08-25T00:00:00"/>
    <s v="August"/>
    <x v="0"/>
    <s v="East"/>
    <s v="Priya"/>
    <n v="2"/>
    <n v="55000"/>
    <n v="165000"/>
    <n v="42000"/>
    <n v="81000"/>
    <n v="200000"/>
    <n v="82.5"/>
    <n v="0.49090909090909091"/>
  </r>
  <r>
    <n v="1026"/>
    <d v="2026-08-26T00:00:00"/>
    <s v="August"/>
    <x v="1"/>
    <s v="West"/>
    <s v="Amit"/>
    <n v="5"/>
    <n v="22000"/>
    <n v="165000"/>
    <n v="14000"/>
    <n v="95000"/>
    <n v="150000"/>
    <n v="110.00000000000001"/>
    <n v="0.5757575757575758"/>
  </r>
  <r>
    <n v="1027"/>
    <d v="2026-08-27T00:00:00"/>
    <s v="August"/>
    <x v="2"/>
    <s v="North"/>
    <s v="Rahul"/>
    <n v="6"/>
    <n v="18000"/>
    <n v="165000"/>
    <n v="25000"/>
    <n v="15000"/>
    <n v="100000"/>
    <n v="165"/>
    <n v="9.0909090909090912E-2"/>
  </r>
  <r>
    <n v="1028"/>
    <d v="2026-08-28T00:00:00"/>
    <s v="August"/>
    <x v="3"/>
    <s v="South"/>
    <s v="Sneha"/>
    <n v="14"/>
    <n v="2500"/>
    <n v="165000"/>
    <n v="2000"/>
    <n v="137000"/>
    <n v="30000"/>
    <n v="550"/>
    <n v="0.83030303030303032"/>
  </r>
  <r>
    <n v="1029"/>
    <d v="2026-08-29T00:00:00"/>
    <s v="August"/>
    <x v="0"/>
    <s v="West"/>
    <s v="Sneha"/>
    <n v="4"/>
    <n v="55000"/>
    <n v="165000"/>
    <n v="42000"/>
    <n v="-3000"/>
    <n v="200000"/>
    <n v="82.5"/>
    <n v="-1.8181818181818181E-2"/>
  </r>
  <r>
    <n v="1030"/>
    <d v="2026-08-30T00:00:00"/>
    <s v="August"/>
    <x v="1"/>
    <s v="East"/>
    <s v="Rahul"/>
    <n v="7"/>
    <n v="22000"/>
    <n v="165000"/>
    <n v="14000"/>
    <n v="67000"/>
    <n v="150000"/>
    <n v="110.00000000000001"/>
    <n v="0.40606060606060607"/>
  </r>
  <r>
    <n v="1031"/>
    <d v="2026-08-31T00:00:00"/>
    <s v="August"/>
    <x v="2"/>
    <s v="South"/>
    <s v="Priya"/>
    <n v="5"/>
    <n v="18000"/>
    <n v="165000"/>
    <n v="25000"/>
    <n v="40000"/>
    <n v="100000"/>
    <n v="165"/>
    <n v="0.24242424242424243"/>
  </r>
  <r>
    <n v="1032"/>
    <d v="2026-09-01T00:00:00"/>
    <s v="September"/>
    <x v="3"/>
    <s v="North"/>
    <s v="Amit"/>
    <n v="13"/>
    <n v="2500"/>
    <n v="165000"/>
    <n v="2000"/>
    <n v="139000"/>
    <n v="30000"/>
    <n v="550"/>
    <n v="0.84242424242424241"/>
  </r>
  <r>
    <n v="1033"/>
    <d v="2026-09-02T00:00:00"/>
    <s v="September"/>
    <x v="0"/>
    <s v="North"/>
    <s v="Priya"/>
    <n v="3"/>
    <n v="55000"/>
    <n v="165000"/>
    <n v="42000"/>
    <n v="39000"/>
    <n v="200000"/>
    <n v="82.5"/>
    <n v="0.23636363636363636"/>
  </r>
  <r>
    <n v="1034"/>
    <d v="2026-09-03T00:00:00"/>
    <s v="September"/>
    <x v="1"/>
    <s v="South"/>
    <s v="Sneha"/>
    <n v="6"/>
    <n v="22000"/>
    <n v="165000"/>
    <n v="14000"/>
    <n v="81000"/>
    <n v="150000"/>
    <n v="110.00000000000001"/>
    <n v="0.49090909090909091"/>
  </r>
  <r>
    <n v="1035"/>
    <d v="2026-09-04T00:00:00"/>
    <s v="September"/>
    <x v="2"/>
    <s v="East"/>
    <s v="Amit"/>
    <n v="9"/>
    <n v="18000"/>
    <n v="165000"/>
    <n v="25000"/>
    <n v="-60000"/>
    <n v="100000"/>
    <n v="165"/>
    <n v="-0.36363636363636365"/>
  </r>
  <r>
    <n v="1036"/>
    <d v="2026-09-05T00:00:00"/>
    <s v="September"/>
    <x v="3"/>
    <s v="West"/>
    <s v="Rahul"/>
    <n v="16"/>
    <n v="2500"/>
    <n v="165000"/>
    <n v="2000"/>
    <n v="133000"/>
    <n v="30000"/>
    <n v="550"/>
    <n v="0.80606060606060603"/>
  </r>
  <r>
    <n v="1037"/>
    <d v="2026-09-06T00:00:00"/>
    <s v="September"/>
    <x v="0"/>
    <s v="South"/>
    <s v="Sneha"/>
    <n v="2"/>
    <n v="55000"/>
    <n v="165000"/>
    <n v="42000"/>
    <n v="81000"/>
    <n v="200000"/>
    <n v="82.5"/>
    <n v="0.49090909090909091"/>
  </r>
  <r>
    <n v="1038"/>
    <d v="2026-09-07T00:00:00"/>
    <s v="September"/>
    <x v="1"/>
    <s v="North"/>
    <s v="Rahul"/>
    <n v="9"/>
    <n v="22000"/>
    <n v="165000"/>
    <n v="14000"/>
    <n v="39000"/>
    <n v="150000"/>
    <n v="110.00000000000001"/>
    <n v="0.23636363636363636"/>
  </r>
  <r>
    <n v="1039"/>
    <d v="2026-09-08T00:00:00"/>
    <s v="September"/>
    <x v="2"/>
    <s v="West"/>
    <s v="Amit"/>
    <n v="6"/>
    <n v="18000"/>
    <n v="165000"/>
    <n v="25000"/>
    <n v="15000"/>
    <n v="100000"/>
    <n v="165"/>
    <n v="9.0909090909090912E-2"/>
  </r>
  <r>
    <n v="1040"/>
    <d v="2026-09-09T00:00:00"/>
    <s v="September"/>
    <x v="3"/>
    <s v="East"/>
    <s v="Priya"/>
    <n v="12"/>
    <n v="2500"/>
    <n v="165000"/>
    <n v="2000"/>
    <n v="141000"/>
    <n v="30000"/>
    <n v="550"/>
    <n v="0.8545454545454545"/>
  </r>
  <r>
    <n v="1041"/>
    <d v="2026-09-10T00:00:00"/>
    <s v="September"/>
    <x v="0"/>
    <s v="East"/>
    <s v="Rahul"/>
    <n v="5"/>
    <n v="55000"/>
    <n v="165000"/>
    <n v="42000"/>
    <n v="-45000"/>
    <n v="200000"/>
    <n v="82.5"/>
    <n v="-0.27272727272727271"/>
  </r>
  <r>
    <n v="1042"/>
    <d v="2026-09-11T00:00:00"/>
    <s v="September"/>
    <x v="1"/>
    <s v="West"/>
    <s v="Priya"/>
    <n v="4"/>
    <n v="22000"/>
    <n v="165000"/>
    <n v="14000"/>
    <n v="109000"/>
    <n v="150000"/>
    <n v="110.00000000000001"/>
    <n v="0.66060606060606064"/>
  </r>
  <r>
    <n v="1043"/>
    <d v="2026-09-12T00:00:00"/>
    <s v="September"/>
    <x v="2"/>
    <s v="North"/>
    <s v="Sneha"/>
    <n v="7"/>
    <n v="18000"/>
    <n v="165000"/>
    <n v="25000"/>
    <n v="-10000"/>
    <n v="100000"/>
    <n v="165"/>
    <n v="-6.0606060606060608E-2"/>
  </r>
  <r>
    <n v="1044"/>
    <d v="2026-09-13T00:00:00"/>
    <s v="September"/>
    <x v="3"/>
    <s v="South"/>
    <s v="Amit"/>
    <n v="18"/>
    <n v="2500"/>
    <n v="165000"/>
    <n v="2000"/>
    <n v="129000"/>
    <n v="30000"/>
    <n v="550"/>
    <n v="0.78181818181818186"/>
  </r>
  <r>
    <n v="1045"/>
    <d v="2026-09-14T00:00:00"/>
    <s v="September"/>
    <x v="0"/>
    <s v="West"/>
    <s v="Amit"/>
    <n v="3"/>
    <n v="55000"/>
    <n v="165000"/>
    <n v="42000"/>
    <n v="39000"/>
    <n v="200000"/>
    <n v="82.5"/>
    <n v="0.23636363636363636"/>
  </r>
  <r>
    <n v="1046"/>
    <d v="2026-09-15T00:00:00"/>
    <s v="September"/>
    <x v="1"/>
    <s v="East"/>
    <s v="Sneha"/>
    <n v="8"/>
    <n v="22000"/>
    <n v="165000"/>
    <n v="14000"/>
    <n v="53000"/>
    <n v="150000"/>
    <n v="110.00000000000001"/>
    <n v="0.32121212121212123"/>
  </r>
  <r>
    <n v="1047"/>
    <d v="2026-09-16T00:00:00"/>
    <s v="September"/>
    <x v="2"/>
    <s v="South"/>
    <s v="Rahul"/>
    <n v="6"/>
    <n v="18000"/>
    <n v="165000"/>
    <n v="25000"/>
    <n v="15000"/>
    <n v="100000"/>
    <n v="165"/>
    <n v="9.0909090909090912E-2"/>
  </r>
  <r>
    <n v="1048"/>
    <d v="2026-09-17T00:00:00"/>
    <s v="September"/>
    <x v="3"/>
    <s v="North"/>
    <s v="Priya"/>
    <n v="10"/>
    <n v="2500"/>
    <n v="165000"/>
    <n v="2000"/>
    <n v="145000"/>
    <n v="30000"/>
    <n v="550"/>
    <n v="0.87878787878787878"/>
  </r>
  <r>
    <n v="1049"/>
    <d v="2026-09-18T00:00:00"/>
    <s v="September"/>
    <x v="0"/>
    <s v="North"/>
    <s v="Amit"/>
    <n v="4"/>
    <n v="55000"/>
    <n v="165000"/>
    <n v="42000"/>
    <n v="-3000"/>
    <n v="200000"/>
    <n v="82.5"/>
    <n v="-1.8181818181818181E-2"/>
  </r>
  <r>
    <n v="1050"/>
    <d v="2026-09-19T00:00:00"/>
    <s v="September"/>
    <x v="1"/>
    <s v="South"/>
    <s v="Rahul"/>
    <n v="7"/>
    <n v="22000"/>
    <n v="165000"/>
    <n v="14000"/>
    <n v="67000"/>
    <n v="150000"/>
    <n v="110.00000000000001"/>
    <n v="0.4060606060606060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6-08-01T00:00:00"/>
    <s v="August"/>
    <x v="0"/>
    <x v="0"/>
    <x v="0"/>
    <n v="3"/>
    <n v="55000"/>
    <n v="165000"/>
    <n v="42000"/>
    <n v="39000"/>
    <n v="200000"/>
    <n v="82.5"/>
    <n v="0.23636363636363636"/>
  </r>
  <r>
    <n v="1002"/>
    <d v="2026-08-02T00:00:00"/>
    <s v="August"/>
    <x v="1"/>
    <x v="1"/>
    <x v="1"/>
    <n v="5"/>
    <n v="22000"/>
    <n v="165000"/>
    <n v="14000"/>
    <n v="95000"/>
    <n v="150000"/>
    <n v="110.00000000000001"/>
    <n v="0.5757575757575758"/>
  </r>
  <r>
    <n v="1003"/>
    <d v="2026-08-03T00:00:00"/>
    <s v="August"/>
    <x v="2"/>
    <x v="2"/>
    <x v="2"/>
    <n v="4"/>
    <n v="18000"/>
    <n v="165000"/>
    <n v="25000"/>
    <n v="65000"/>
    <n v="100000"/>
    <n v="165"/>
    <n v="0.39393939393939392"/>
  </r>
  <r>
    <n v="1004"/>
    <d v="2026-08-04T00:00:00"/>
    <s v="August"/>
    <x v="3"/>
    <x v="3"/>
    <x v="3"/>
    <n v="8"/>
    <n v="2500"/>
    <n v="165000"/>
    <n v="2000"/>
    <n v="149000"/>
    <n v="30000"/>
    <n v="550"/>
    <n v="0.90303030303030307"/>
  </r>
  <r>
    <n v="1005"/>
    <d v="2026-08-05T00:00:00"/>
    <s v="August"/>
    <x v="0"/>
    <x v="1"/>
    <x v="0"/>
    <n v="2"/>
    <n v="55000"/>
    <n v="165000"/>
    <n v="42000"/>
    <n v="81000"/>
    <n v="200000"/>
    <n v="82.5"/>
    <n v="0.49090909090909091"/>
  </r>
  <r>
    <n v="1006"/>
    <d v="2026-08-06T00:00:00"/>
    <s v="August"/>
    <x v="1"/>
    <x v="0"/>
    <x v="2"/>
    <n v="7"/>
    <n v="22000"/>
    <n v="165000"/>
    <n v="14000"/>
    <n v="67000"/>
    <n v="150000"/>
    <n v="110.00000000000001"/>
    <n v="0.40606060606060607"/>
  </r>
  <r>
    <n v="1007"/>
    <d v="2026-08-07T00:00:00"/>
    <s v="August"/>
    <x v="2"/>
    <x v="3"/>
    <x v="1"/>
    <n v="6"/>
    <n v="18000"/>
    <n v="165000"/>
    <n v="25000"/>
    <n v="15000"/>
    <n v="100000"/>
    <n v="165"/>
    <n v="9.0909090909090912E-2"/>
  </r>
  <r>
    <n v="1008"/>
    <d v="2026-08-08T00:00:00"/>
    <s v="August"/>
    <x v="3"/>
    <x v="2"/>
    <x v="3"/>
    <n v="10"/>
    <n v="2500"/>
    <n v="165000"/>
    <n v="2000"/>
    <n v="145000"/>
    <n v="30000"/>
    <n v="550"/>
    <n v="0.87878787878787878"/>
  </r>
  <r>
    <n v="1009"/>
    <d v="2026-08-09T00:00:00"/>
    <s v="August"/>
    <x v="0"/>
    <x v="2"/>
    <x v="2"/>
    <n v="4"/>
    <n v="55000"/>
    <n v="165000"/>
    <n v="42000"/>
    <n v="-3000"/>
    <n v="200000"/>
    <n v="82.5"/>
    <n v="-1.8181818181818181E-2"/>
  </r>
  <r>
    <n v="1010"/>
    <d v="2026-08-10T00:00:00"/>
    <s v="August"/>
    <x v="1"/>
    <x v="3"/>
    <x v="0"/>
    <n v="3"/>
    <n v="22000"/>
    <n v="165000"/>
    <n v="14000"/>
    <n v="123000"/>
    <n v="150000"/>
    <n v="110.00000000000001"/>
    <n v="0.74545454545454548"/>
  </r>
  <r>
    <n v="1011"/>
    <d v="2026-08-11T00:00:00"/>
    <s v="August"/>
    <x v="2"/>
    <x v="0"/>
    <x v="3"/>
    <n v="5"/>
    <n v="18000"/>
    <n v="165000"/>
    <n v="25000"/>
    <n v="40000"/>
    <n v="100000"/>
    <n v="165"/>
    <n v="0.24242424242424243"/>
  </r>
  <r>
    <n v="1012"/>
    <d v="2026-08-12T00:00:00"/>
    <s v="August"/>
    <x v="3"/>
    <x v="1"/>
    <x v="1"/>
    <n v="12"/>
    <n v="2500"/>
    <n v="165000"/>
    <n v="2000"/>
    <n v="141000"/>
    <n v="30000"/>
    <n v="550"/>
    <n v="0.8545454545454545"/>
  </r>
  <r>
    <n v="1013"/>
    <d v="2026-08-13T00:00:00"/>
    <s v="August"/>
    <x v="0"/>
    <x v="3"/>
    <x v="1"/>
    <n v="2"/>
    <n v="55000"/>
    <n v="165000"/>
    <n v="42000"/>
    <n v="81000"/>
    <n v="200000"/>
    <n v="82.5"/>
    <n v="0.49090909090909091"/>
  </r>
  <r>
    <n v="1014"/>
    <d v="2026-08-14T00:00:00"/>
    <s v="August"/>
    <x v="1"/>
    <x v="2"/>
    <x v="3"/>
    <n v="6"/>
    <n v="22000"/>
    <n v="165000"/>
    <n v="14000"/>
    <n v="81000"/>
    <n v="150000"/>
    <n v="110.00000000000001"/>
    <n v="0.49090909090909091"/>
  </r>
  <r>
    <n v="1015"/>
    <d v="2026-08-15T00:00:00"/>
    <s v="August"/>
    <x v="2"/>
    <x v="1"/>
    <x v="0"/>
    <n v="7"/>
    <n v="18000"/>
    <n v="165000"/>
    <n v="25000"/>
    <n v="-10000"/>
    <n v="100000"/>
    <n v="165"/>
    <n v="-6.0606060606060608E-2"/>
  </r>
  <r>
    <n v="1016"/>
    <d v="2026-08-16T00:00:00"/>
    <s v="August"/>
    <x v="3"/>
    <x v="0"/>
    <x v="2"/>
    <n v="9"/>
    <n v="2500"/>
    <n v="165000"/>
    <n v="2000"/>
    <n v="147000"/>
    <n v="30000"/>
    <n v="550"/>
    <n v="0.89090909090909087"/>
  </r>
  <r>
    <n v="1017"/>
    <d v="2026-08-17T00:00:00"/>
    <s v="August"/>
    <x v="0"/>
    <x v="0"/>
    <x v="3"/>
    <n v="5"/>
    <n v="55000"/>
    <n v="165000"/>
    <n v="42000"/>
    <n v="-45000"/>
    <n v="200000"/>
    <n v="82.5"/>
    <n v="-0.27272727272727271"/>
  </r>
  <r>
    <n v="1018"/>
    <d v="2026-08-18T00:00:00"/>
    <s v="August"/>
    <x v="1"/>
    <x v="1"/>
    <x v="2"/>
    <n v="4"/>
    <n v="22000"/>
    <n v="165000"/>
    <n v="14000"/>
    <n v="109000"/>
    <n v="150000"/>
    <n v="110.00000000000001"/>
    <n v="0.66060606060606064"/>
  </r>
  <r>
    <n v="1019"/>
    <d v="2026-08-19T00:00:00"/>
    <s v="August"/>
    <x v="2"/>
    <x v="2"/>
    <x v="0"/>
    <n v="8"/>
    <n v="18000"/>
    <n v="165000"/>
    <n v="25000"/>
    <n v="-35000"/>
    <n v="100000"/>
    <n v="165"/>
    <n v="-0.21212121212121213"/>
  </r>
  <r>
    <n v="1020"/>
    <d v="2026-08-20T00:00:00"/>
    <s v="August"/>
    <x v="3"/>
    <x v="3"/>
    <x v="1"/>
    <n v="15"/>
    <n v="2500"/>
    <n v="165000"/>
    <n v="2000"/>
    <n v="135000"/>
    <n v="30000"/>
    <n v="550"/>
    <n v="0.81818181818181823"/>
  </r>
  <r>
    <n v="1021"/>
    <d v="2026-08-21T00:00:00"/>
    <s v="August"/>
    <x v="0"/>
    <x v="1"/>
    <x v="2"/>
    <n v="3"/>
    <n v="55000"/>
    <n v="165000"/>
    <n v="42000"/>
    <n v="39000"/>
    <n v="200000"/>
    <n v="82.5"/>
    <n v="0.23636363636363636"/>
  </r>
  <r>
    <n v="1022"/>
    <d v="2026-08-22T00:00:00"/>
    <s v="August"/>
    <x v="1"/>
    <x v="0"/>
    <x v="1"/>
    <n v="8"/>
    <n v="22000"/>
    <n v="165000"/>
    <n v="14000"/>
    <n v="53000"/>
    <n v="150000"/>
    <n v="110.00000000000001"/>
    <n v="0.32121212121212123"/>
  </r>
  <r>
    <n v="1023"/>
    <d v="2026-08-23T00:00:00"/>
    <s v="August"/>
    <x v="2"/>
    <x v="3"/>
    <x v="3"/>
    <n v="4"/>
    <n v="18000"/>
    <n v="165000"/>
    <n v="25000"/>
    <n v="65000"/>
    <n v="100000"/>
    <n v="165"/>
    <n v="0.39393939393939392"/>
  </r>
  <r>
    <n v="1024"/>
    <d v="2026-08-24T00:00:00"/>
    <s v="August"/>
    <x v="3"/>
    <x v="2"/>
    <x v="0"/>
    <n v="11"/>
    <n v="2500"/>
    <n v="165000"/>
    <n v="2000"/>
    <n v="143000"/>
    <n v="30000"/>
    <n v="550"/>
    <n v="0.8666666666666667"/>
  </r>
  <r>
    <n v="1025"/>
    <d v="2026-08-25T00:00:00"/>
    <s v="August"/>
    <x v="0"/>
    <x v="2"/>
    <x v="1"/>
    <n v="2"/>
    <n v="55000"/>
    <n v="165000"/>
    <n v="42000"/>
    <n v="81000"/>
    <n v="200000"/>
    <n v="82.5"/>
    <n v="0.49090909090909091"/>
  </r>
  <r>
    <n v="1026"/>
    <d v="2026-08-26T00:00:00"/>
    <s v="August"/>
    <x v="1"/>
    <x v="3"/>
    <x v="2"/>
    <n v="5"/>
    <n v="22000"/>
    <n v="165000"/>
    <n v="14000"/>
    <n v="95000"/>
    <n v="150000"/>
    <n v="110.00000000000001"/>
    <n v="0.5757575757575758"/>
  </r>
  <r>
    <n v="1027"/>
    <d v="2026-08-27T00:00:00"/>
    <s v="August"/>
    <x v="2"/>
    <x v="0"/>
    <x v="0"/>
    <n v="6"/>
    <n v="18000"/>
    <n v="165000"/>
    <n v="25000"/>
    <n v="15000"/>
    <n v="100000"/>
    <n v="165"/>
    <n v="9.0909090909090912E-2"/>
  </r>
  <r>
    <n v="1028"/>
    <d v="2026-08-28T00:00:00"/>
    <s v="August"/>
    <x v="3"/>
    <x v="1"/>
    <x v="3"/>
    <n v="14"/>
    <n v="2500"/>
    <n v="165000"/>
    <n v="2000"/>
    <n v="137000"/>
    <n v="30000"/>
    <n v="550"/>
    <n v="0.83030303030303032"/>
  </r>
  <r>
    <n v="1029"/>
    <d v="2026-08-29T00:00:00"/>
    <s v="August"/>
    <x v="0"/>
    <x v="3"/>
    <x v="3"/>
    <n v="4"/>
    <n v="55000"/>
    <n v="165000"/>
    <n v="42000"/>
    <n v="-3000"/>
    <n v="200000"/>
    <n v="82.5"/>
    <n v="-1.8181818181818181E-2"/>
  </r>
  <r>
    <n v="1030"/>
    <d v="2026-08-30T00:00:00"/>
    <s v="August"/>
    <x v="1"/>
    <x v="2"/>
    <x v="0"/>
    <n v="7"/>
    <n v="22000"/>
    <n v="165000"/>
    <n v="14000"/>
    <n v="67000"/>
    <n v="150000"/>
    <n v="110.00000000000001"/>
    <n v="0.40606060606060607"/>
  </r>
  <r>
    <n v="1031"/>
    <d v="2026-08-31T00:00:00"/>
    <s v="August"/>
    <x v="2"/>
    <x v="1"/>
    <x v="1"/>
    <n v="5"/>
    <n v="18000"/>
    <n v="165000"/>
    <n v="25000"/>
    <n v="40000"/>
    <n v="100000"/>
    <n v="165"/>
    <n v="0.24242424242424243"/>
  </r>
  <r>
    <n v="1032"/>
    <d v="2026-09-01T00:00:00"/>
    <s v="September"/>
    <x v="3"/>
    <x v="0"/>
    <x v="2"/>
    <n v="13"/>
    <n v="2500"/>
    <n v="165000"/>
    <n v="2000"/>
    <n v="139000"/>
    <n v="30000"/>
    <n v="550"/>
    <n v="0.84242424242424241"/>
  </r>
  <r>
    <n v="1033"/>
    <d v="2026-09-02T00:00:00"/>
    <s v="September"/>
    <x v="0"/>
    <x v="0"/>
    <x v="1"/>
    <n v="3"/>
    <n v="55000"/>
    <n v="165000"/>
    <n v="42000"/>
    <n v="39000"/>
    <n v="200000"/>
    <n v="82.5"/>
    <n v="0.23636363636363636"/>
  </r>
  <r>
    <n v="1034"/>
    <d v="2026-09-03T00:00:00"/>
    <s v="September"/>
    <x v="1"/>
    <x v="1"/>
    <x v="3"/>
    <n v="6"/>
    <n v="22000"/>
    <n v="165000"/>
    <n v="14000"/>
    <n v="81000"/>
    <n v="150000"/>
    <n v="110.00000000000001"/>
    <n v="0.49090909090909091"/>
  </r>
  <r>
    <n v="1035"/>
    <d v="2026-09-04T00:00:00"/>
    <s v="September"/>
    <x v="2"/>
    <x v="2"/>
    <x v="2"/>
    <n v="9"/>
    <n v="18000"/>
    <n v="165000"/>
    <n v="25000"/>
    <n v="-60000"/>
    <n v="100000"/>
    <n v="165"/>
    <n v="-0.36363636363636365"/>
  </r>
  <r>
    <n v="1036"/>
    <d v="2026-09-05T00:00:00"/>
    <s v="September"/>
    <x v="3"/>
    <x v="3"/>
    <x v="0"/>
    <n v="16"/>
    <n v="2500"/>
    <n v="165000"/>
    <n v="2000"/>
    <n v="133000"/>
    <n v="30000"/>
    <n v="550"/>
    <n v="0.80606060606060603"/>
  </r>
  <r>
    <n v="1037"/>
    <d v="2026-09-06T00:00:00"/>
    <s v="September"/>
    <x v="0"/>
    <x v="1"/>
    <x v="3"/>
    <n v="2"/>
    <n v="55000"/>
    <n v="165000"/>
    <n v="42000"/>
    <n v="81000"/>
    <n v="200000"/>
    <n v="82.5"/>
    <n v="0.49090909090909091"/>
  </r>
  <r>
    <n v="1038"/>
    <d v="2026-09-07T00:00:00"/>
    <s v="September"/>
    <x v="1"/>
    <x v="0"/>
    <x v="0"/>
    <n v="9"/>
    <n v="22000"/>
    <n v="165000"/>
    <n v="14000"/>
    <n v="39000"/>
    <n v="150000"/>
    <n v="110.00000000000001"/>
    <n v="0.23636363636363636"/>
  </r>
  <r>
    <n v="1039"/>
    <d v="2026-09-08T00:00:00"/>
    <s v="September"/>
    <x v="2"/>
    <x v="3"/>
    <x v="2"/>
    <n v="6"/>
    <n v="18000"/>
    <n v="165000"/>
    <n v="25000"/>
    <n v="15000"/>
    <n v="100000"/>
    <n v="165"/>
    <n v="9.0909090909090912E-2"/>
  </r>
  <r>
    <n v="1040"/>
    <d v="2026-09-09T00:00:00"/>
    <s v="September"/>
    <x v="3"/>
    <x v="2"/>
    <x v="1"/>
    <n v="12"/>
    <n v="2500"/>
    <n v="165000"/>
    <n v="2000"/>
    <n v="141000"/>
    <n v="30000"/>
    <n v="550"/>
    <n v="0.8545454545454545"/>
  </r>
  <r>
    <n v="1041"/>
    <d v="2026-09-10T00:00:00"/>
    <s v="September"/>
    <x v="0"/>
    <x v="2"/>
    <x v="0"/>
    <n v="5"/>
    <n v="55000"/>
    <n v="165000"/>
    <n v="42000"/>
    <n v="-45000"/>
    <n v="200000"/>
    <n v="82.5"/>
    <n v="-0.27272727272727271"/>
  </r>
  <r>
    <n v="1042"/>
    <d v="2026-09-11T00:00:00"/>
    <s v="September"/>
    <x v="1"/>
    <x v="3"/>
    <x v="1"/>
    <n v="4"/>
    <n v="22000"/>
    <n v="165000"/>
    <n v="14000"/>
    <n v="109000"/>
    <n v="150000"/>
    <n v="110.00000000000001"/>
    <n v="0.66060606060606064"/>
  </r>
  <r>
    <n v="1043"/>
    <d v="2026-09-12T00:00:00"/>
    <s v="September"/>
    <x v="2"/>
    <x v="0"/>
    <x v="3"/>
    <n v="7"/>
    <n v="18000"/>
    <n v="165000"/>
    <n v="25000"/>
    <n v="-10000"/>
    <n v="100000"/>
    <n v="165"/>
    <n v="-6.0606060606060608E-2"/>
  </r>
  <r>
    <n v="1044"/>
    <d v="2026-09-13T00:00:00"/>
    <s v="September"/>
    <x v="3"/>
    <x v="1"/>
    <x v="2"/>
    <n v="18"/>
    <n v="2500"/>
    <n v="165000"/>
    <n v="2000"/>
    <n v="129000"/>
    <n v="30000"/>
    <n v="550"/>
    <n v="0.78181818181818186"/>
  </r>
  <r>
    <n v="1045"/>
    <d v="2026-09-14T00:00:00"/>
    <s v="September"/>
    <x v="0"/>
    <x v="3"/>
    <x v="2"/>
    <n v="3"/>
    <n v="55000"/>
    <n v="165000"/>
    <n v="42000"/>
    <n v="39000"/>
    <n v="200000"/>
    <n v="82.5"/>
    <n v="0.23636363636363636"/>
  </r>
  <r>
    <n v="1046"/>
    <d v="2026-09-15T00:00:00"/>
    <s v="September"/>
    <x v="1"/>
    <x v="2"/>
    <x v="3"/>
    <n v="8"/>
    <n v="22000"/>
    <n v="165000"/>
    <n v="14000"/>
    <n v="53000"/>
    <n v="150000"/>
    <n v="110.00000000000001"/>
    <n v="0.32121212121212123"/>
  </r>
  <r>
    <n v="1047"/>
    <d v="2026-09-16T00:00:00"/>
    <s v="September"/>
    <x v="2"/>
    <x v="1"/>
    <x v="0"/>
    <n v="6"/>
    <n v="18000"/>
    <n v="165000"/>
    <n v="25000"/>
    <n v="15000"/>
    <n v="100000"/>
    <n v="165"/>
    <n v="9.0909090909090912E-2"/>
  </r>
  <r>
    <n v="1048"/>
    <d v="2026-09-17T00:00:00"/>
    <s v="September"/>
    <x v="3"/>
    <x v="0"/>
    <x v="1"/>
    <n v="10"/>
    <n v="2500"/>
    <n v="165000"/>
    <n v="2000"/>
    <n v="145000"/>
    <n v="30000"/>
    <n v="550"/>
    <n v="0.87878787878787878"/>
  </r>
  <r>
    <n v="1049"/>
    <d v="2026-09-18T00:00:00"/>
    <s v="September"/>
    <x v="0"/>
    <x v="0"/>
    <x v="2"/>
    <n v="4"/>
    <n v="55000"/>
    <n v="165000"/>
    <n v="42000"/>
    <n v="-3000"/>
    <n v="200000"/>
    <n v="82.5"/>
    <n v="-1.8181818181818181E-2"/>
  </r>
  <r>
    <n v="1050"/>
    <d v="2026-09-19T00:00:00"/>
    <s v="September"/>
    <x v="1"/>
    <x v="1"/>
    <x v="0"/>
    <n v="7"/>
    <n v="22000"/>
    <n v="165000"/>
    <n v="14000"/>
    <n v="67000"/>
    <n v="150000"/>
    <n v="110.00000000000001"/>
    <n v="0.40606060606060607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6-08-01T00:00:00"/>
    <x v="0"/>
    <s v="August"/>
    <x v="0"/>
    <x v="0"/>
    <s v="Rahul"/>
    <n v="3"/>
    <n v="55000"/>
    <n v="165000"/>
    <n v="42000"/>
    <n v="39000"/>
    <n v="200000"/>
    <n v="82.5"/>
    <n v="0.23636363636363636"/>
  </r>
  <r>
    <n v="1002"/>
    <d v="2026-08-02T00:00:00"/>
    <x v="1"/>
    <s v="August"/>
    <x v="1"/>
    <x v="1"/>
    <s v="Priya"/>
    <n v="5"/>
    <n v="22000"/>
    <n v="165000"/>
    <n v="14000"/>
    <n v="95000"/>
    <n v="150000"/>
    <n v="110.00000000000001"/>
    <n v="0.5757575757575758"/>
  </r>
  <r>
    <n v="1003"/>
    <d v="2026-08-03T00:00:00"/>
    <x v="2"/>
    <s v="August"/>
    <x v="2"/>
    <x v="2"/>
    <s v="Amit"/>
    <n v="4"/>
    <n v="18000"/>
    <n v="165000"/>
    <n v="25000"/>
    <n v="65000"/>
    <n v="100000"/>
    <n v="165"/>
    <n v="0.39393939393939392"/>
  </r>
  <r>
    <n v="1004"/>
    <d v="2026-08-04T00:00:00"/>
    <x v="3"/>
    <s v="August"/>
    <x v="3"/>
    <x v="3"/>
    <s v="Sneha"/>
    <n v="8"/>
    <n v="2500"/>
    <n v="165000"/>
    <n v="2000"/>
    <n v="149000"/>
    <n v="30000"/>
    <n v="550"/>
    <n v="0.90303030303030307"/>
  </r>
  <r>
    <n v="1005"/>
    <d v="2026-08-05T00:00:00"/>
    <x v="4"/>
    <s v="August"/>
    <x v="0"/>
    <x v="1"/>
    <s v="Rahul"/>
    <n v="2"/>
    <n v="55000"/>
    <n v="165000"/>
    <n v="42000"/>
    <n v="81000"/>
    <n v="200000"/>
    <n v="82.5"/>
    <n v="0.49090909090909091"/>
  </r>
  <r>
    <n v="1006"/>
    <d v="2026-08-06T00:00:00"/>
    <x v="5"/>
    <s v="August"/>
    <x v="1"/>
    <x v="0"/>
    <s v="Amit"/>
    <n v="7"/>
    <n v="22000"/>
    <n v="165000"/>
    <n v="14000"/>
    <n v="67000"/>
    <n v="150000"/>
    <n v="110.00000000000001"/>
    <n v="0.40606060606060607"/>
  </r>
  <r>
    <n v="1007"/>
    <d v="2026-08-07T00:00:00"/>
    <x v="6"/>
    <s v="August"/>
    <x v="2"/>
    <x v="3"/>
    <s v="Priya"/>
    <n v="6"/>
    <n v="18000"/>
    <n v="165000"/>
    <n v="25000"/>
    <n v="15000"/>
    <n v="100000"/>
    <n v="165"/>
    <n v="9.0909090909090912E-2"/>
  </r>
  <r>
    <n v="1008"/>
    <d v="2026-08-08T00:00:00"/>
    <x v="7"/>
    <s v="August"/>
    <x v="3"/>
    <x v="2"/>
    <s v="Sneha"/>
    <n v="10"/>
    <n v="2500"/>
    <n v="165000"/>
    <n v="2000"/>
    <n v="145000"/>
    <n v="30000"/>
    <n v="550"/>
    <n v="0.87878787878787878"/>
  </r>
  <r>
    <n v="1009"/>
    <d v="2026-08-09T00:00:00"/>
    <x v="8"/>
    <s v="August"/>
    <x v="0"/>
    <x v="2"/>
    <s v="Amit"/>
    <n v="4"/>
    <n v="55000"/>
    <n v="165000"/>
    <n v="42000"/>
    <n v="-3000"/>
    <n v="200000"/>
    <n v="82.5"/>
    <n v="-1.8181818181818181E-2"/>
  </r>
  <r>
    <n v="1010"/>
    <d v="2026-08-10T00:00:00"/>
    <x v="9"/>
    <s v="August"/>
    <x v="1"/>
    <x v="3"/>
    <s v="Rahul"/>
    <n v="3"/>
    <n v="22000"/>
    <n v="165000"/>
    <n v="14000"/>
    <n v="123000"/>
    <n v="150000"/>
    <n v="110.00000000000001"/>
    <n v="0.74545454545454548"/>
  </r>
  <r>
    <n v="1011"/>
    <d v="2026-08-11T00:00:00"/>
    <x v="0"/>
    <s v="August"/>
    <x v="2"/>
    <x v="0"/>
    <s v="Sneha"/>
    <n v="5"/>
    <n v="18000"/>
    <n v="165000"/>
    <n v="25000"/>
    <n v="40000"/>
    <n v="100000"/>
    <n v="165"/>
    <n v="0.24242424242424243"/>
  </r>
  <r>
    <n v="1012"/>
    <d v="2026-08-12T00:00:00"/>
    <x v="1"/>
    <s v="August"/>
    <x v="3"/>
    <x v="1"/>
    <s v="Priya"/>
    <n v="12"/>
    <n v="2500"/>
    <n v="165000"/>
    <n v="2000"/>
    <n v="141000"/>
    <n v="30000"/>
    <n v="550"/>
    <n v="0.8545454545454545"/>
  </r>
  <r>
    <n v="1013"/>
    <d v="2026-08-13T00:00:00"/>
    <x v="2"/>
    <s v="August"/>
    <x v="0"/>
    <x v="3"/>
    <s v="Priya"/>
    <n v="2"/>
    <n v="55000"/>
    <n v="165000"/>
    <n v="42000"/>
    <n v="81000"/>
    <n v="200000"/>
    <n v="82.5"/>
    <n v="0.49090909090909091"/>
  </r>
  <r>
    <n v="1014"/>
    <d v="2026-08-14T00:00:00"/>
    <x v="3"/>
    <s v="August"/>
    <x v="1"/>
    <x v="2"/>
    <s v="Sneha"/>
    <n v="6"/>
    <n v="22000"/>
    <n v="165000"/>
    <n v="14000"/>
    <n v="81000"/>
    <n v="150000"/>
    <n v="110.00000000000001"/>
    <n v="0.49090909090909091"/>
  </r>
  <r>
    <n v="1015"/>
    <d v="2026-08-15T00:00:00"/>
    <x v="4"/>
    <s v="August"/>
    <x v="2"/>
    <x v="1"/>
    <s v="Rahul"/>
    <n v="7"/>
    <n v="18000"/>
    <n v="165000"/>
    <n v="25000"/>
    <n v="-10000"/>
    <n v="100000"/>
    <n v="165"/>
    <n v="-6.0606060606060608E-2"/>
  </r>
  <r>
    <n v="1016"/>
    <d v="2026-08-16T00:00:00"/>
    <x v="5"/>
    <s v="August"/>
    <x v="3"/>
    <x v="0"/>
    <s v="Amit"/>
    <n v="9"/>
    <n v="2500"/>
    <n v="165000"/>
    <n v="2000"/>
    <n v="147000"/>
    <n v="30000"/>
    <n v="550"/>
    <n v="0.89090909090909087"/>
  </r>
  <r>
    <n v="1017"/>
    <d v="2026-08-17T00:00:00"/>
    <x v="6"/>
    <s v="August"/>
    <x v="0"/>
    <x v="0"/>
    <s v="Sneha"/>
    <n v="5"/>
    <n v="55000"/>
    <n v="165000"/>
    <n v="42000"/>
    <n v="-45000"/>
    <n v="200000"/>
    <n v="82.5"/>
    <n v="-0.27272727272727271"/>
  </r>
  <r>
    <n v="1018"/>
    <d v="2026-08-18T00:00:00"/>
    <x v="7"/>
    <s v="August"/>
    <x v="1"/>
    <x v="1"/>
    <s v="Amit"/>
    <n v="4"/>
    <n v="22000"/>
    <n v="165000"/>
    <n v="14000"/>
    <n v="109000"/>
    <n v="150000"/>
    <n v="110.00000000000001"/>
    <n v="0.66060606060606064"/>
  </r>
  <r>
    <n v="1019"/>
    <d v="2026-08-19T00:00:00"/>
    <x v="8"/>
    <s v="August"/>
    <x v="2"/>
    <x v="2"/>
    <s v="Rahul"/>
    <n v="8"/>
    <n v="18000"/>
    <n v="165000"/>
    <n v="25000"/>
    <n v="-35000"/>
    <n v="100000"/>
    <n v="165"/>
    <n v="-0.21212121212121213"/>
  </r>
  <r>
    <n v="1020"/>
    <d v="2026-08-20T00:00:00"/>
    <x v="9"/>
    <s v="August"/>
    <x v="3"/>
    <x v="3"/>
    <s v="Priya"/>
    <n v="15"/>
    <n v="2500"/>
    <n v="165000"/>
    <n v="2000"/>
    <n v="135000"/>
    <n v="30000"/>
    <n v="550"/>
    <n v="0.81818181818181823"/>
  </r>
  <r>
    <n v="1021"/>
    <d v="2026-08-21T00:00:00"/>
    <x v="0"/>
    <s v="August"/>
    <x v="0"/>
    <x v="1"/>
    <s v="Amit"/>
    <n v="3"/>
    <n v="55000"/>
    <n v="165000"/>
    <n v="42000"/>
    <n v="39000"/>
    <n v="200000"/>
    <n v="82.5"/>
    <n v="0.23636363636363636"/>
  </r>
  <r>
    <n v="1022"/>
    <d v="2026-08-22T00:00:00"/>
    <x v="1"/>
    <s v="August"/>
    <x v="1"/>
    <x v="0"/>
    <s v="Priya"/>
    <n v="8"/>
    <n v="22000"/>
    <n v="165000"/>
    <n v="14000"/>
    <n v="53000"/>
    <n v="150000"/>
    <n v="110.00000000000001"/>
    <n v="0.32121212121212123"/>
  </r>
  <r>
    <n v="1023"/>
    <d v="2026-08-23T00:00:00"/>
    <x v="2"/>
    <s v="August"/>
    <x v="2"/>
    <x v="3"/>
    <s v="Sneha"/>
    <n v="4"/>
    <n v="18000"/>
    <n v="165000"/>
    <n v="25000"/>
    <n v="65000"/>
    <n v="100000"/>
    <n v="165"/>
    <n v="0.39393939393939392"/>
  </r>
  <r>
    <n v="1024"/>
    <d v="2026-08-24T00:00:00"/>
    <x v="3"/>
    <s v="August"/>
    <x v="3"/>
    <x v="2"/>
    <s v="Rahul"/>
    <n v="11"/>
    <n v="2500"/>
    <n v="165000"/>
    <n v="2000"/>
    <n v="143000"/>
    <n v="30000"/>
    <n v="550"/>
    <n v="0.8666666666666667"/>
  </r>
  <r>
    <n v="1025"/>
    <d v="2026-08-25T00:00:00"/>
    <x v="4"/>
    <s v="August"/>
    <x v="0"/>
    <x v="2"/>
    <s v="Priya"/>
    <n v="2"/>
    <n v="55000"/>
    <n v="165000"/>
    <n v="42000"/>
    <n v="81000"/>
    <n v="200000"/>
    <n v="82.5"/>
    <n v="0.49090909090909091"/>
  </r>
  <r>
    <n v="1026"/>
    <d v="2026-08-26T00:00:00"/>
    <x v="5"/>
    <s v="August"/>
    <x v="1"/>
    <x v="3"/>
    <s v="Amit"/>
    <n v="5"/>
    <n v="22000"/>
    <n v="165000"/>
    <n v="14000"/>
    <n v="95000"/>
    <n v="150000"/>
    <n v="110.00000000000001"/>
    <n v="0.5757575757575758"/>
  </r>
  <r>
    <n v="1027"/>
    <d v="2026-08-27T00:00:00"/>
    <x v="6"/>
    <s v="August"/>
    <x v="2"/>
    <x v="0"/>
    <s v="Rahul"/>
    <n v="6"/>
    <n v="18000"/>
    <n v="165000"/>
    <n v="25000"/>
    <n v="15000"/>
    <n v="100000"/>
    <n v="165"/>
    <n v="9.0909090909090912E-2"/>
  </r>
  <r>
    <n v="1028"/>
    <d v="2026-08-28T00:00:00"/>
    <x v="7"/>
    <s v="August"/>
    <x v="3"/>
    <x v="1"/>
    <s v="Sneha"/>
    <n v="14"/>
    <n v="2500"/>
    <n v="165000"/>
    <n v="2000"/>
    <n v="137000"/>
    <n v="30000"/>
    <n v="550"/>
    <n v="0.83030303030303032"/>
  </r>
  <r>
    <n v="1029"/>
    <d v="2026-08-29T00:00:00"/>
    <x v="8"/>
    <s v="August"/>
    <x v="0"/>
    <x v="3"/>
    <s v="Sneha"/>
    <n v="4"/>
    <n v="55000"/>
    <n v="165000"/>
    <n v="42000"/>
    <n v="-3000"/>
    <n v="200000"/>
    <n v="82.5"/>
    <n v="-1.8181818181818181E-2"/>
  </r>
  <r>
    <n v="1030"/>
    <d v="2026-08-30T00:00:00"/>
    <x v="9"/>
    <s v="August"/>
    <x v="1"/>
    <x v="2"/>
    <s v="Rahul"/>
    <n v="7"/>
    <n v="22000"/>
    <n v="165000"/>
    <n v="14000"/>
    <n v="67000"/>
    <n v="150000"/>
    <n v="110.00000000000001"/>
    <n v="0.40606060606060607"/>
  </r>
  <r>
    <n v="1031"/>
    <d v="2026-08-31T00:00:00"/>
    <x v="0"/>
    <s v="August"/>
    <x v="2"/>
    <x v="1"/>
    <s v="Priya"/>
    <n v="5"/>
    <n v="18000"/>
    <n v="165000"/>
    <n v="25000"/>
    <n v="40000"/>
    <n v="100000"/>
    <n v="165"/>
    <n v="0.24242424242424243"/>
  </r>
  <r>
    <n v="1032"/>
    <d v="2026-09-01T00:00:00"/>
    <x v="1"/>
    <s v="September"/>
    <x v="3"/>
    <x v="0"/>
    <s v="Amit"/>
    <n v="13"/>
    <n v="2500"/>
    <n v="165000"/>
    <n v="2000"/>
    <n v="139000"/>
    <n v="30000"/>
    <n v="550"/>
    <n v="0.84242424242424241"/>
  </r>
  <r>
    <n v="1033"/>
    <d v="2026-09-02T00:00:00"/>
    <x v="2"/>
    <s v="September"/>
    <x v="0"/>
    <x v="0"/>
    <s v="Priya"/>
    <n v="3"/>
    <n v="55000"/>
    <n v="165000"/>
    <n v="42000"/>
    <n v="39000"/>
    <n v="200000"/>
    <n v="82.5"/>
    <n v="0.23636363636363636"/>
  </r>
  <r>
    <n v="1034"/>
    <d v="2026-09-03T00:00:00"/>
    <x v="3"/>
    <s v="September"/>
    <x v="1"/>
    <x v="1"/>
    <s v="Sneha"/>
    <n v="6"/>
    <n v="22000"/>
    <n v="165000"/>
    <n v="14000"/>
    <n v="81000"/>
    <n v="150000"/>
    <n v="110.00000000000001"/>
    <n v="0.49090909090909091"/>
  </r>
  <r>
    <n v="1035"/>
    <d v="2026-09-04T00:00:00"/>
    <x v="4"/>
    <s v="September"/>
    <x v="2"/>
    <x v="2"/>
    <s v="Amit"/>
    <n v="9"/>
    <n v="18000"/>
    <n v="165000"/>
    <n v="25000"/>
    <n v="-60000"/>
    <n v="100000"/>
    <n v="165"/>
    <n v="-0.36363636363636365"/>
  </r>
  <r>
    <n v="1036"/>
    <d v="2026-09-05T00:00:00"/>
    <x v="5"/>
    <s v="September"/>
    <x v="3"/>
    <x v="3"/>
    <s v="Rahul"/>
    <n v="16"/>
    <n v="2500"/>
    <n v="165000"/>
    <n v="2000"/>
    <n v="133000"/>
    <n v="30000"/>
    <n v="550"/>
    <n v="0.80606060606060603"/>
  </r>
  <r>
    <n v="1037"/>
    <d v="2026-09-06T00:00:00"/>
    <x v="6"/>
    <s v="September"/>
    <x v="0"/>
    <x v="1"/>
    <s v="Sneha"/>
    <n v="2"/>
    <n v="55000"/>
    <n v="165000"/>
    <n v="42000"/>
    <n v="81000"/>
    <n v="200000"/>
    <n v="82.5"/>
    <n v="0.49090909090909091"/>
  </r>
  <r>
    <n v="1038"/>
    <d v="2026-09-07T00:00:00"/>
    <x v="7"/>
    <s v="September"/>
    <x v="1"/>
    <x v="0"/>
    <s v="Rahul"/>
    <n v="9"/>
    <n v="22000"/>
    <n v="165000"/>
    <n v="14000"/>
    <n v="39000"/>
    <n v="150000"/>
    <n v="110.00000000000001"/>
    <n v="0.23636363636363636"/>
  </r>
  <r>
    <n v="1039"/>
    <d v="2026-09-08T00:00:00"/>
    <x v="8"/>
    <s v="September"/>
    <x v="2"/>
    <x v="3"/>
    <s v="Amit"/>
    <n v="6"/>
    <n v="18000"/>
    <n v="165000"/>
    <n v="25000"/>
    <n v="15000"/>
    <n v="100000"/>
    <n v="165"/>
    <n v="9.0909090909090912E-2"/>
  </r>
  <r>
    <n v="1040"/>
    <d v="2026-09-09T00:00:00"/>
    <x v="9"/>
    <s v="September"/>
    <x v="3"/>
    <x v="2"/>
    <s v="Priya"/>
    <n v="12"/>
    <n v="2500"/>
    <n v="165000"/>
    <n v="2000"/>
    <n v="141000"/>
    <n v="30000"/>
    <n v="550"/>
    <n v="0.8545454545454545"/>
  </r>
  <r>
    <n v="1041"/>
    <d v="2026-09-10T00:00:00"/>
    <x v="0"/>
    <s v="September"/>
    <x v="0"/>
    <x v="2"/>
    <s v="Rahul"/>
    <n v="5"/>
    <n v="55000"/>
    <n v="165000"/>
    <n v="42000"/>
    <n v="-45000"/>
    <n v="200000"/>
    <n v="82.5"/>
    <n v="-0.27272727272727271"/>
  </r>
  <r>
    <n v="1042"/>
    <d v="2026-09-11T00:00:00"/>
    <x v="1"/>
    <s v="September"/>
    <x v="1"/>
    <x v="3"/>
    <s v="Priya"/>
    <n v="4"/>
    <n v="22000"/>
    <n v="165000"/>
    <n v="14000"/>
    <n v="109000"/>
    <n v="150000"/>
    <n v="110.00000000000001"/>
    <n v="0.66060606060606064"/>
  </r>
  <r>
    <n v="1043"/>
    <d v="2026-09-12T00:00:00"/>
    <x v="2"/>
    <s v="September"/>
    <x v="2"/>
    <x v="0"/>
    <s v="Sneha"/>
    <n v="7"/>
    <n v="18000"/>
    <n v="165000"/>
    <n v="25000"/>
    <n v="-10000"/>
    <n v="100000"/>
    <n v="165"/>
    <n v="-6.0606060606060608E-2"/>
  </r>
  <r>
    <n v="1044"/>
    <d v="2026-09-13T00:00:00"/>
    <x v="3"/>
    <s v="September"/>
    <x v="3"/>
    <x v="1"/>
    <s v="Amit"/>
    <n v="18"/>
    <n v="2500"/>
    <n v="165000"/>
    <n v="2000"/>
    <n v="129000"/>
    <n v="30000"/>
    <n v="550"/>
    <n v="0.78181818181818186"/>
  </r>
  <r>
    <n v="1045"/>
    <d v="2026-09-14T00:00:00"/>
    <x v="4"/>
    <s v="September"/>
    <x v="0"/>
    <x v="3"/>
    <s v="Amit"/>
    <n v="3"/>
    <n v="55000"/>
    <n v="165000"/>
    <n v="42000"/>
    <n v="39000"/>
    <n v="200000"/>
    <n v="82.5"/>
    <n v="0.23636363636363636"/>
  </r>
  <r>
    <n v="1046"/>
    <d v="2026-09-15T00:00:00"/>
    <x v="5"/>
    <s v="September"/>
    <x v="1"/>
    <x v="2"/>
    <s v="Sneha"/>
    <n v="8"/>
    <n v="22000"/>
    <n v="165000"/>
    <n v="14000"/>
    <n v="53000"/>
    <n v="150000"/>
    <n v="110.00000000000001"/>
    <n v="0.32121212121212123"/>
  </r>
  <r>
    <n v="1047"/>
    <d v="2026-09-16T00:00:00"/>
    <x v="6"/>
    <s v="September"/>
    <x v="2"/>
    <x v="1"/>
    <s v="Rahul"/>
    <n v="6"/>
    <n v="18000"/>
    <n v="165000"/>
    <n v="25000"/>
    <n v="15000"/>
    <n v="100000"/>
    <n v="165"/>
    <n v="9.0909090909090912E-2"/>
  </r>
  <r>
    <n v="1048"/>
    <d v="2026-09-17T00:00:00"/>
    <x v="7"/>
    <s v="September"/>
    <x v="3"/>
    <x v="0"/>
    <s v="Priya"/>
    <n v="10"/>
    <n v="2500"/>
    <n v="165000"/>
    <n v="2000"/>
    <n v="145000"/>
    <n v="30000"/>
    <n v="550"/>
    <n v="0.87878787878787878"/>
  </r>
  <r>
    <n v="1049"/>
    <d v="2026-09-18T00:00:00"/>
    <x v="8"/>
    <s v="September"/>
    <x v="0"/>
    <x v="0"/>
    <s v="Amit"/>
    <n v="4"/>
    <n v="55000"/>
    <n v="165000"/>
    <n v="42000"/>
    <n v="-3000"/>
    <n v="200000"/>
    <n v="82.5"/>
    <n v="-1.8181818181818181E-2"/>
  </r>
  <r>
    <n v="1050"/>
    <d v="2026-09-19T00:00:00"/>
    <x v="9"/>
    <s v="September"/>
    <x v="1"/>
    <x v="1"/>
    <s v="Rahul"/>
    <n v="7"/>
    <n v="22000"/>
    <n v="165000"/>
    <n v="14000"/>
    <n v="67000"/>
    <n v="150000"/>
    <n v="110.00000000000001"/>
    <n v="0.406060606060606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D1F65-1BC7-4DAC-9590-7780F77FD9C6}" name="PivotTable1" cacheId="1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3:P8" firstHeaderRow="0" firstDataRow="1" firstDataCol="1"/>
  <pivotFields count="11"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dataField="1" compact="0" numFmtId="164" outline="0" showAll="0"/>
    <pivotField dataField="1" compact="0" numFmtId="164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arget amount" fld="9" baseField="0" baseItem="0" numFmtId="164"/>
    <dataField name="Sum of Sales Amount" fld="8" baseField="0" baseItem="0" numFmtId="165"/>
    <dataField name="Average of Achievement" fld="10" subtotal="average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91E65-E71D-4DFA-BCB0-4857120012CC}" name="PivotTable2" cacheId="1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3:R9" firstHeaderRow="1" firstDataRow="2" firstDataCol="1"/>
  <pivotFields count="11">
    <pivotField compact="0" outline="0" showAll="0"/>
    <pivotField compact="0" numFmtId="14" outline="0" showAll="0"/>
    <pivotField compact="0" outline="0" showAll="0"/>
    <pivotField axis="axisCol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axis="axisRow" compact="0" outline="0" showAll="0" measureFilter="1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numFmtId="165" outline="0" showAll="0"/>
    <pivotField compact="0" numFmtId="164" outline="0" showAll="0"/>
    <pivotField compact="0" numFmtId="164" outline="0" showAll="0"/>
  </pivotFields>
  <rowFields count="1">
    <field x="5"/>
  </rowFields>
  <rowItems count="5">
    <i>
      <x v="2"/>
    </i>
    <i>
      <x/>
    </i>
    <i>
      <x v="3"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Amount" fld="8" baseField="0" baseItem="0" numFmtId="165"/>
  </dataFields>
  <pivotTableStyleInfo name="PivotStyleMedium9" showRowHeaders="1" showColHeaders="1" showRowStripes="0" showColStripes="0" showLastColumn="1"/>
  <filters count="1">
    <filter fld="5" type="valueGreaterThan" evalOrder="-1" id="1" iMeasureFld="0">
      <autoFilter ref="A1">
        <filterColumn colId="0">
          <customFilters>
            <customFilter operator="greaterThan" val="5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B5276-548E-44A6-82AD-4C12CA8DA55A}" name="PivotTable3" cacheId="1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9:R13" firstHeaderRow="1" firstDataRow="2" firstDataCol="1"/>
  <pivotFields count="11">
    <pivotField compact="0" outline="0" showAll="0"/>
    <pivotField compact="0" numFmtId="14" outline="0" showAll="0"/>
    <pivotField compact="0" outline="0" showAll="0"/>
    <pivotField axis="axisRow" compact="0" outline="0" showAll="0" measureFilter="1">
      <items count="5">
        <item x="3"/>
        <item x="0"/>
        <item x="1"/>
        <item x="2"/>
        <item t="default"/>
      </items>
    </pivotField>
    <pivotField axis="axisCol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5" outline="0" showAll="0"/>
    <pivotField compact="0" numFmtId="164" outline="0" showAll="0"/>
    <pivotField compact="0" numFmtId="164" outline="0" showAll="0"/>
  </pivotFields>
  <rowFields count="1">
    <field x="3"/>
  </rowFields>
  <rowItems count="3">
    <i>
      <x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Amount" fld="8" baseField="0" baseItem="0" numFmtId="165"/>
  </dataFields>
  <pivotTableStyleInfo name="PivotStyleMedium9" showRowHeaders="1" showColHeaders="1" showRowStripes="0" showColStripes="0" showLastColumn="1"/>
  <filters count="1">
    <filter fld="3" type="count" evalOrder="-1" id="1" iMeasureFld="0">
      <autoFilter ref="A1">
        <filterColumn colId="0">
          <top10 top="0"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D0DF8-4CD1-4BA1-AF14-0650AE0191C0}" name="PivotTable2" cacheId="1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3:R7" firstHeaderRow="1" firstDataRow="2" firstDataCol="1"/>
  <pivotFields count="11">
    <pivotField compact="0" outline="0" showAll="0"/>
    <pivotField compact="0" numFmtId="14" outline="0" showAll="0"/>
    <pivotField compact="0" outline="0" showAll="0"/>
    <pivotField axis="axisRow" compact="0" outline="0" showAll="0" measureFilter="1">
      <items count="5">
        <item x="3"/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5" outline="0" showAll="0"/>
    <pivotField compact="0" numFmtId="164" outline="0" showAll="0"/>
    <pivotField compact="0" numFmtId="164" outline="0" showAll="0"/>
  </pivotFields>
  <rowFields count="1">
    <field x="3"/>
  </rowFields>
  <rowItems count="3"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Amount" fld="8" baseField="0" baseItem="0" numFmtId="165"/>
  </dataFields>
  <pivotTableStyleInfo name="PivotStyleMedium9" showRowHeaders="1" showColHeaders="1" showRowStripes="0" showColStripes="0" showLastColumn="1"/>
  <filters count="1">
    <filter fld="3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EE9E7-1404-4E83-9526-24AE0B063F11}" name="PivotTable5" cacheId="1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9:O12" firstHeaderRow="0" firstDataRow="1" firstDataCol="1"/>
  <pivotFields count="11">
    <pivotField compact="0" outline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numFmtId="14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>
      <items count="2">
        <item x="0"/>
        <item t="default"/>
      </items>
    </pivotField>
    <pivotField compact="0" numFmtId="164" outline="0" showAll="0"/>
    <pivotField compact="0" numFmtId="164" outline="0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8" baseField="0" baseItem="0" numFmtId="165"/>
    <dataField name="Sum of Sales Amount2" fld="8" showDataAs="percentDiff" baseField="2" baseItem="1048828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0C007-04FF-4CD4-AF7F-CEEFAA220AF6}" name="PivotTable4" cacheId="1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3:R7" firstHeaderRow="1" firstDataRow="2" firstDataCol="1"/>
  <pivotFields count="11">
    <pivotField compact="0" outline="0" showAll="0"/>
    <pivotField compact="0" numFmtId="14" outline="0" showAll="0"/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compact="0" numFmtId="164" outline="0" showAll="0"/>
    <pivotField compact="0" numFmtId="164" outline="0"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Amount" fld="8" baseField="0" baseItem="0" numFmtId="165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FCE84-2A76-43AD-A20E-EC8E9355FC91}" name="PivotTable7" cacheId="1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3:AC16" firstHeaderRow="1" firstDataRow="3" firstDataCol="1" rowPageCount="1" colPageCount="1"/>
  <pivotFields count="12">
    <pivotField dataField="1" compact="0" outline="0" showAll="0"/>
    <pivotField axis="axisRow" compact="0" outline="0" showAll="0" sortType="descending">
      <items count="11">
        <item x="6"/>
        <item x="9"/>
        <item x="0"/>
        <item x="4"/>
        <item x="1"/>
        <item x="3"/>
        <item x="7"/>
        <item x="8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compact="0" outline="0" showAll="0"/>
    <pivotField axis="axisCol" compact="0" outline="0" showAll="0">
      <items count="5">
        <item x="3"/>
        <item x="0"/>
        <item x="1"/>
        <item x="2"/>
        <item t="default"/>
      </items>
    </pivotField>
    <pivotField axis="axisPage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5" outline="0" showAll="0"/>
    <pivotField compact="0" numFmtId="164" outline="0" showAll="0"/>
    <pivotField compact="0" numFmtId="164" outline="0" showAll="0"/>
  </pivotFields>
  <rowFields count="1">
    <field x="1"/>
  </rowFields>
  <rowItems count="11">
    <i>
      <x v="7"/>
    </i>
    <i>
      <x v="5"/>
    </i>
    <i>
      <x v="9"/>
    </i>
    <i>
      <x v="1"/>
    </i>
    <i>
      <x v="6"/>
    </i>
    <i>
      <x v="2"/>
    </i>
    <i>
      <x v="8"/>
    </i>
    <i>
      <x v="3"/>
    </i>
    <i>
      <x/>
    </i>
    <i>
      <x v="4"/>
    </i>
    <i t="grand">
      <x/>
    </i>
  </rowItems>
  <colFields count="2">
    <field x="-2"/>
    <field x="4"/>
  </colFields>
  <colItems count="15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t="grand">
      <x/>
    </i>
    <i t="grand" i="1">
      <x/>
    </i>
    <i t="grand" i="2">
      <x/>
    </i>
  </colItems>
  <pageFields count="1">
    <pageField fld="5" hier="-1"/>
  </pageFields>
  <dataFields count="3">
    <dataField name="Sum of Sales Amount" fld="9" baseField="0" baseItem="0" numFmtId="165"/>
    <dataField name="Count of Order ID" fld="0" subtotal="count" baseField="0" baseItem="0"/>
    <dataField name="Average of Sales Amount2" fld="9" subtotal="average" baseField="0" baseItem="0" numFmtId="165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9ED22-02EA-479C-8BE7-E7C6D22B3BBA}" name="PivotTable6" cacheId="1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3:P23" firstHeaderRow="0" firstDataRow="1" firstDataCol="2" rowPageCount="1" colPageCount="1"/>
  <pivotFields count="11">
    <pivotField compact="0" outline="0" showAll="0"/>
    <pivotField compact="0" numFmtId="14" outline="0" showAll="0"/>
    <pivotField compact="0" outline="0" showAll="0"/>
    <pivotField axis="axisPage" compact="0" outline="0" multipleItemSelectionAllowed="1" showAll="0">
      <items count="5">
        <item h="1" x="3"/>
        <item h="1" x="0"/>
        <item x="1"/>
        <item x="2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howAll="0"/>
    <pivotField compact="0" outline="0" showAll="0"/>
    <pivotField dataField="1" compact="0" numFmtId="165" outline="0" showAll="0"/>
    <pivotField compact="0" numFmtId="164" outline="0" showAll="0"/>
    <pivotField compact="0" numFmtId="164" outline="0" showAll="0"/>
  </pivotFields>
  <rowFields count="2">
    <field x="4"/>
    <field x="5"/>
  </rowFields>
  <rowItems count="20">
    <i>
      <x/>
      <x/>
    </i>
    <i r="1">
      <x v="3"/>
    </i>
    <i r="1">
      <x v="1"/>
    </i>
    <i t="default">
      <x/>
    </i>
    <i>
      <x v="1"/>
      <x/>
    </i>
    <i r="1">
      <x v="1"/>
    </i>
    <i r="1">
      <x v="3"/>
    </i>
    <i r="1">
      <x v="2"/>
    </i>
    <i t="default">
      <x v="1"/>
    </i>
    <i>
      <x v="2"/>
      <x v="1"/>
    </i>
    <i r="1">
      <x v="2"/>
    </i>
    <i r="1">
      <x v="3"/>
    </i>
    <i r="1">
      <x/>
    </i>
    <i t="default">
      <x v="2"/>
    </i>
    <i>
      <x v="3"/>
      <x v="3"/>
    </i>
    <i r="1">
      <x v="2"/>
    </i>
    <i r="1">
      <x/>
    </i>
    <i r="1">
      <x v="1"/>
    </i>
    <i t="default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Quantity" fld="6" baseField="0" baseItem="0"/>
    <dataField name="Sum of Sales Amount" fld="8" baseField="0" baseItem="0" numFmtId="165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421A8-77EA-45B9-9FC4-798466784A0F}" name="PivotTable8" cacheId="1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3:X11" firstHeaderRow="1" firstDataRow="3" firstDataCol="1" rowPageCount="1" colPageCount="1"/>
  <pivotFields count="12">
    <pivotField dataField="1" compact="0" outline="0" showAll="0"/>
    <pivotField axis="axisRow" compact="0" outline="0" showAll="0">
      <items count="11">
        <item x="6"/>
        <item x="9"/>
        <item x="0"/>
        <item x="4"/>
        <item x="1"/>
        <item x="3"/>
        <item x="7"/>
        <item x="8"/>
        <item x="2"/>
        <item x="5"/>
        <item t="default"/>
      </items>
    </pivotField>
    <pivotField compact="0" numFmtId="14" outline="0" showAll="0"/>
    <pivotField compact="0" outline="0" showAll="0"/>
    <pivotField axis="axisPage" compact="0" outline="0" showAll="0">
      <items count="5">
        <item x="3"/>
        <item h="1" x="0"/>
        <item h="1" x="1"/>
        <item h="1" x="2"/>
        <item t="default"/>
      </items>
    </pivotField>
    <pivotField axis="axisCol" compact="0" outline="0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5" outline="0" showAll="0"/>
    <pivotField compact="0" numFmtId="164" outline="0" showAll="0"/>
    <pivotField compact="0" numFmtId="164" outline="0" showAll="0"/>
  </pivotFields>
  <rowFields count="1">
    <field x="1"/>
  </rowFields>
  <rowItems count="6">
    <i>
      <x v="1"/>
    </i>
    <i>
      <x v="4"/>
    </i>
    <i>
      <x v="5"/>
    </i>
    <i>
      <x v="6"/>
    </i>
    <i>
      <x v="9"/>
    </i>
    <i t="grand">
      <x/>
    </i>
  </rowItems>
  <colFields count="2">
    <field x="5"/>
    <field x="-2"/>
  </colFields>
  <colItems count="10">
    <i>
      <x v="3"/>
      <x/>
    </i>
    <i r="1" i="1">
      <x v="1"/>
    </i>
    <i>
      <x v="2"/>
      <x/>
    </i>
    <i r="1" i="1">
      <x v="1"/>
    </i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4" item="0" hier="-1"/>
  </pageFields>
  <dataFields count="2">
    <dataField name="Sum of Sales Amount" fld="9" baseField="0" baseItem="0" numFmtId="165"/>
    <dataField name="Count of Order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CB90C-0791-4E6E-95AD-96C41AECE688}" name="PivotTable1" cacheId="1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9:S14" firstHeaderRow="0" firstDataRow="1" firstDataCol="1"/>
  <pivotFields count="14"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" outline="0" showAll="0"/>
    <pivotField dataField="1" compact="0" numFmtId="1" outline="0" showAll="0"/>
    <pivotField compact="0" numFmtId="164" outline="0" showAll="0"/>
    <pivotField compact="0" numFmtId="164" outline="0" showAll="0"/>
    <pivotField dataField="1" compact="0" numFmtId="1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8" baseField="0" baseItem="0" numFmtId="1"/>
    <dataField name="Sum of Profit " fld="10" baseField="0" baseItem="0" numFmtId="1"/>
    <dataField name="Average of Profit Percentage" fld="13" subtotal="average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942CE-C49F-41A7-9981-487D2EAD343F}" name="PivotTable3" cacheId="1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24:R29" firstHeaderRow="0" firstDataRow="1" firstDataCol="1"/>
  <pivotFields count="14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dataField="1" compact="0" numFmtId="1" outline="0" showAll="0"/>
    <pivotField compact="0" numFmtId="1" outline="0" showAll="0"/>
    <pivotField dataField="1" compact="0" numFmtId="1" outline="0" showAll="0"/>
    <pivotField compact="0" numFmtId="164" outline="0" showAll="0"/>
    <pivotField compact="0" numFmtId="164" outline="0" showAll="0"/>
    <pivotField compact="0" numFmtId="1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8" baseField="0" baseItem="0" numFmtId="1"/>
    <dataField name="Sum of Profit " fld="10" baseField="0" baseItem="0" numFmtId="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069EF-D381-49E0-BBCA-89EBB565B92C}" name="PivotTable2" cacheId="1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17:R22" firstHeaderRow="0" firstDataRow="1" firstDataCol="1"/>
  <pivotFields count="14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" outline="0" showAll="0"/>
    <pivotField dataField="1" compact="0" numFmtId="1" outline="0" showAll="0"/>
    <pivotField compact="0" numFmtId="164" outline="0" showAll="0"/>
    <pivotField compact="0" numFmtId="164" outline="0" showAll="0"/>
    <pivotField compact="0" numFmtId="1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8" baseField="0" baseItem="0" numFmtId="1"/>
    <dataField name="Sum of Profit " fld="10" baseField="0" baseItem="0" numFmtId="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C742D-22F0-4529-ADC0-A82D6F4B401E}" name="PivotTable1" cacheId="1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P10:S15" firstHeaderRow="0" firstDataRow="1" firstDataCol="1"/>
  <pivotFields count="14"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" outline="0" showAll="0"/>
    <pivotField dataField="1" compact="0" numFmtId="1" outline="0" showAll="0"/>
    <pivotField compact="0" numFmtId="164" outline="0" showAll="0"/>
    <pivotField compact="0" numFmtId="164" outline="0" showAll="0"/>
    <pivotField dataField="1" compact="0" numFmtId="1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8" baseField="0" baseItem="0" numFmtId="1"/>
    <dataField name="Sum of Profit " fld="10" baseField="0" baseItem="0" numFmtId="1"/>
    <dataField name="Average of Profit Percentage" fld="13" subtotal="average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336D4-DBA9-44A8-8FA8-499AE247ED41}" name="PivotTable6" cacheId="1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3:AE16" firstHeaderRow="1" firstDataRow="3" firstDataCol="1" rowPageCount="1" colPageCount="1"/>
  <pivotFields count="15">
    <pivotField compact="0" outline="0" showAll="0"/>
    <pivotField compact="0" numFmtId="14" outline="0" showAll="0"/>
    <pivotField axis="axisRow" compact="0" outline="0" showAll="0">
      <items count="11">
        <item x="2"/>
        <item x="9"/>
        <item x="4"/>
        <item x="0"/>
        <item x="8"/>
        <item x="5"/>
        <item x="3"/>
        <item x="1"/>
        <item x="7"/>
        <item x="6"/>
        <item t="default"/>
      </items>
    </pivotField>
    <pivotField compact="0" outline="0" showAll="0"/>
    <pivotField axis="axisCol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" outline="0" showAll="0"/>
    <pivotField dataField="1" compact="0" numFmtId="1" outline="0" showAll="0"/>
    <pivotField compact="0" numFmtId="164" outline="0" showAll="0"/>
    <pivotField compact="0" numFmtId="164" outline="0" showAll="0"/>
    <pivotField compact="0" numFmtId="1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4"/>
    <field x="-2"/>
  </colFields>
  <colItems count="10">
    <i>
      <x v="2"/>
      <x/>
    </i>
    <i r="1" i="1">
      <x v="1"/>
    </i>
    <i>
      <x v="1"/>
      <x/>
    </i>
    <i r="1" i="1">
      <x v="1"/>
    </i>
    <i>
      <x v="3"/>
      <x/>
    </i>
    <i r="1" i="1">
      <x v="1"/>
    </i>
    <i>
      <x/>
      <x/>
    </i>
    <i r="1" i="1">
      <x v="1"/>
    </i>
    <i t="grand">
      <x/>
    </i>
    <i t="grand" i="1">
      <x/>
    </i>
  </colItems>
  <pageFields count="1">
    <pageField fld="5" hier="-1"/>
  </pageFields>
  <dataFields count="2">
    <dataField name="Sum of Sales Amount" fld="9" baseField="0" baseItem="0" numFmtId="1"/>
    <dataField name="Sum of Profit " fld="11" baseField="0" baseItem="0" numFmtId="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opLeftCell="A36" workbookViewId="0">
      <selection activeCell="A3" sqref="A3:K53"/>
    </sheetView>
  </sheetViews>
  <sheetFormatPr defaultRowHeight="15"/>
  <cols>
    <col min="2" max="2" width="11.42578125" bestFit="1" customWidth="1"/>
    <col min="9" max="9" width="13.140625" customWidth="1"/>
    <col min="10" max="10" width="12" bestFit="1" customWidth="1"/>
    <col min="13" max="13" width="12.140625" bestFit="1" customWidth="1"/>
    <col min="14" max="14" width="21" bestFit="1" customWidth="1"/>
    <col min="15" max="15" width="20.42578125" bestFit="1" customWidth="1"/>
    <col min="16" max="16" width="23.42578125" bestFit="1" customWidth="1"/>
  </cols>
  <sheetData>
    <row r="1" spans="1:16" ht="18.75">
      <c r="A1" s="9" t="s">
        <v>0</v>
      </c>
      <c r="B1" s="10"/>
      <c r="C1" s="10"/>
      <c r="D1" s="10"/>
      <c r="E1" s="10"/>
      <c r="F1" s="10"/>
      <c r="G1" s="11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M3" s="4" t="s">
        <v>4</v>
      </c>
      <c r="N3" t="s">
        <v>12</v>
      </c>
      <c r="O3" t="s">
        <v>13</v>
      </c>
      <c r="P3" t="s">
        <v>14</v>
      </c>
    </row>
    <row r="4" spans="1:16">
      <c r="A4">
        <v>1001</v>
      </c>
      <c r="B4" s="1">
        <v>46235</v>
      </c>
      <c r="C4" s="1" t="str">
        <f>TEXT(B4,"mmmm")</f>
        <v>August</v>
      </c>
      <c r="D4" t="s">
        <v>15</v>
      </c>
      <c r="E4" t="s">
        <v>16</v>
      </c>
      <c r="F4" t="s">
        <v>17</v>
      </c>
      <c r="G4">
        <v>3</v>
      </c>
      <c r="H4">
        <v>55000</v>
      </c>
      <c r="I4" s="3">
        <v>165000</v>
      </c>
      <c r="J4" s="2">
        <f>IF(D4 = "Laptop",200000,IF( D4 = "Mobile",150000,IF(D4 = "Tablet",100000,IF(D4 = "Headphones",30000,""))))</f>
        <v>200000</v>
      </c>
      <c r="K4" s="2">
        <f>I4/J4*100</f>
        <v>82.5</v>
      </c>
      <c r="M4" t="s">
        <v>18</v>
      </c>
      <c r="N4" s="2">
        <v>360000</v>
      </c>
      <c r="O4" s="3">
        <v>1980000</v>
      </c>
      <c r="P4" s="2">
        <v>550</v>
      </c>
    </row>
    <row r="5" spans="1:16">
      <c r="A5">
        <v>1002</v>
      </c>
      <c r="B5" s="1">
        <v>46236</v>
      </c>
      <c r="C5" s="1" t="str">
        <f>TEXT(B5,"mmmm")</f>
        <v>August</v>
      </c>
      <c r="D5" t="s">
        <v>19</v>
      </c>
      <c r="E5" t="s">
        <v>20</v>
      </c>
      <c r="F5" t="s">
        <v>21</v>
      </c>
      <c r="G5">
        <v>5</v>
      </c>
      <c r="H5">
        <v>22000</v>
      </c>
      <c r="I5" s="3">
        <v>165000</v>
      </c>
      <c r="J5" s="2">
        <f t="shared" ref="J5:J53" si="0">IF(D5 = "Laptop",200000,IF( D5 = "Mobile",150000,IF(D5 = "Tablet",100000,IF(D5 = "Headphones",30000,""))))</f>
        <v>150000</v>
      </c>
      <c r="K5" s="2">
        <f t="shared" ref="K5:K53" si="1">I5/J5*100</f>
        <v>110.00000000000001</v>
      </c>
      <c r="M5" t="s">
        <v>15</v>
      </c>
      <c r="N5" s="2">
        <v>2600000</v>
      </c>
      <c r="O5" s="3">
        <v>2145000</v>
      </c>
      <c r="P5" s="2">
        <v>82.5</v>
      </c>
    </row>
    <row r="6" spans="1:16">
      <c r="A6">
        <v>1003</v>
      </c>
      <c r="B6" s="1">
        <v>46237</v>
      </c>
      <c r="C6" s="1" t="str">
        <f>TEXT(B6,"mmmm")</f>
        <v>August</v>
      </c>
      <c r="D6" t="s">
        <v>22</v>
      </c>
      <c r="E6" t="s">
        <v>23</v>
      </c>
      <c r="F6" t="s">
        <v>24</v>
      </c>
      <c r="G6">
        <v>4</v>
      </c>
      <c r="H6">
        <v>18000</v>
      </c>
      <c r="I6" s="3">
        <v>165000</v>
      </c>
      <c r="J6" s="2">
        <f t="shared" si="0"/>
        <v>100000</v>
      </c>
      <c r="K6" s="2">
        <f t="shared" si="1"/>
        <v>165</v>
      </c>
      <c r="M6" t="s">
        <v>19</v>
      </c>
      <c r="N6" s="2">
        <v>1950000</v>
      </c>
      <c r="O6" s="3">
        <v>2145000</v>
      </c>
      <c r="P6" s="2">
        <v>110.00000000000001</v>
      </c>
    </row>
    <row r="7" spans="1:16">
      <c r="A7">
        <v>1004</v>
      </c>
      <c r="B7" s="1">
        <v>46238</v>
      </c>
      <c r="C7" s="1" t="str">
        <f>TEXT(B7,"mmmm")</f>
        <v>August</v>
      </c>
      <c r="D7" t="s">
        <v>18</v>
      </c>
      <c r="E7" t="s">
        <v>25</v>
      </c>
      <c r="F7" t="s">
        <v>26</v>
      </c>
      <c r="G7">
        <v>8</v>
      </c>
      <c r="H7">
        <v>2500</v>
      </c>
      <c r="I7" s="3">
        <v>165000</v>
      </c>
      <c r="J7" s="2">
        <f t="shared" si="0"/>
        <v>30000</v>
      </c>
      <c r="K7" s="2">
        <f t="shared" si="1"/>
        <v>550</v>
      </c>
      <c r="M7" t="s">
        <v>22</v>
      </c>
      <c r="N7" s="2">
        <v>1200000</v>
      </c>
      <c r="O7" s="3">
        <v>1980000</v>
      </c>
      <c r="P7" s="2">
        <v>165</v>
      </c>
    </row>
    <row r="8" spans="1:16">
      <c r="A8">
        <v>1005</v>
      </c>
      <c r="B8" s="1">
        <v>46239</v>
      </c>
      <c r="C8" s="1" t="str">
        <f>TEXT(B8,"mmmm")</f>
        <v>August</v>
      </c>
      <c r="D8" t="s">
        <v>15</v>
      </c>
      <c r="E8" t="s">
        <v>20</v>
      </c>
      <c r="F8" t="s">
        <v>17</v>
      </c>
      <c r="G8">
        <v>2</v>
      </c>
      <c r="H8">
        <v>55000</v>
      </c>
      <c r="I8" s="3">
        <v>165000</v>
      </c>
      <c r="J8" s="2">
        <f t="shared" si="0"/>
        <v>200000</v>
      </c>
      <c r="K8" s="2">
        <f t="shared" si="1"/>
        <v>82.5</v>
      </c>
      <c r="M8" t="s">
        <v>27</v>
      </c>
      <c r="N8" s="2">
        <v>6110000</v>
      </c>
      <c r="O8" s="3">
        <v>8250000</v>
      </c>
      <c r="P8" s="2">
        <v>221.65</v>
      </c>
    </row>
    <row r="9" spans="1:16">
      <c r="A9">
        <v>1006</v>
      </c>
      <c r="B9" s="1">
        <v>46240</v>
      </c>
      <c r="C9" s="1" t="str">
        <f>TEXT(B9,"mmmm")</f>
        <v>August</v>
      </c>
      <c r="D9" t="s">
        <v>19</v>
      </c>
      <c r="E9" t="s">
        <v>16</v>
      </c>
      <c r="F9" t="s">
        <v>24</v>
      </c>
      <c r="G9">
        <v>7</v>
      </c>
      <c r="H9">
        <v>22000</v>
      </c>
      <c r="I9" s="3">
        <v>165000</v>
      </c>
      <c r="J9" s="2">
        <f t="shared" si="0"/>
        <v>150000</v>
      </c>
      <c r="K9" s="2">
        <f t="shared" si="1"/>
        <v>110.00000000000001</v>
      </c>
    </row>
    <row r="10" spans="1:16">
      <c r="A10">
        <v>1007</v>
      </c>
      <c r="B10" s="1">
        <v>46241</v>
      </c>
      <c r="C10" s="1" t="str">
        <f>TEXT(B10,"mmmm")</f>
        <v>August</v>
      </c>
      <c r="D10" t="s">
        <v>22</v>
      </c>
      <c r="E10" t="s">
        <v>25</v>
      </c>
      <c r="F10" t="s">
        <v>21</v>
      </c>
      <c r="G10">
        <v>6</v>
      </c>
      <c r="H10">
        <v>18000</v>
      </c>
      <c r="I10" s="3">
        <v>165000</v>
      </c>
      <c r="J10" s="2">
        <f t="shared" si="0"/>
        <v>100000</v>
      </c>
      <c r="K10" s="2">
        <f t="shared" si="1"/>
        <v>165</v>
      </c>
    </row>
    <row r="11" spans="1:16">
      <c r="A11">
        <v>1008</v>
      </c>
      <c r="B11" s="1">
        <v>46242</v>
      </c>
      <c r="C11" s="1" t="str">
        <f>TEXT(B11,"mmmm")</f>
        <v>August</v>
      </c>
      <c r="D11" t="s">
        <v>18</v>
      </c>
      <c r="E11" t="s">
        <v>23</v>
      </c>
      <c r="F11" t="s">
        <v>26</v>
      </c>
      <c r="G11">
        <v>10</v>
      </c>
      <c r="H11">
        <v>2500</v>
      </c>
      <c r="I11" s="3">
        <v>165000</v>
      </c>
      <c r="J11" s="2">
        <f t="shared" si="0"/>
        <v>30000</v>
      </c>
      <c r="K11" s="2">
        <f t="shared" si="1"/>
        <v>550</v>
      </c>
    </row>
    <row r="12" spans="1:16">
      <c r="A12">
        <v>1009</v>
      </c>
      <c r="B12" s="1">
        <v>46243</v>
      </c>
      <c r="C12" s="1" t="str">
        <f>TEXT(B12,"mmmm")</f>
        <v>August</v>
      </c>
      <c r="D12" t="s">
        <v>15</v>
      </c>
      <c r="E12" t="s">
        <v>23</v>
      </c>
      <c r="F12" t="s">
        <v>24</v>
      </c>
      <c r="G12">
        <v>4</v>
      </c>
      <c r="H12">
        <v>55000</v>
      </c>
      <c r="I12" s="3">
        <v>165000</v>
      </c>
      <c r="J12" s="2">
        <f t="shared" si="0"/>
        <v>200000</v>
      </c>
      <c r="K12" s="2">
        <f t="shared" si="1"/>
        <v>82.5</v>
      </c>
    </row>
    <row r="13" spans="1:16">
      <c r="A13">
        <v>1010</v>
      </c>
      <c r="B13" s="1">
        <v>46244</v>
      </c>
      <c r="C13" s="1" t="str">
        <f>TEXT(B13,"mmmm")</f>
        <v>August</v>
      </c>
      <c r="D13" t="s">
        <v>19</v>
      </c>
      <c r="E13" t="s">
        <v>25</v>
      </c>
      <c r="F13" t="s">
        <v>17</v>
      </c>
      <c r="G13">
        <v>3</v>
      </c>
      <c r="H13">
        <v>22000</v>
      </c>
      <c r="I13" s="3">
        <v>165000</v>
      </c>
      <c r="J13" s="2">
        <f t="shared" si="0"/>
        <v>150000</v>
      </c>
      <c r="K13" s="2">
        <f t="shared" si="1"/>
        <v>110.00000000000001</v>
      </c>
    </row>
    <row r="14" spans="1:16">
      <c r="A14">
        <v>1011</v>
      </c>
      <c r="B14" s="1">
        <v>46245</v>
      </c>
      <c r="C14" s="1" t="str">
        <f>TEXT(B14,"mmmm")</f>
        <v>August</v>
      </c>
      <c r="D14" t="s">
        <v>22</v>
      </c>
      <c r="E14" t="s">
        <v>16</v>
      </c>
      <c r="F14" t="s">
        <v>26</v>
      </c>
      <c r="G14">
        <v>5</v>
      </c>
      <c r="H14">
        <v>18000</v>
      </c>
      <c r="I14" s="3">
        <v>165000</v>
      </c>
      <c r="J14" s="2">
        <f t="shared" si="0"/>
        <v>100000</v>
      </c>
      <c r="K14" s="2">
        <f t="shared" si="1"/>
        <v>165</v>
      </c>
    </row>
    <row r="15" spans="1:16">
      <c r="A15">
        <v>1012</v>
      </c>
      <c r="B15" s="1">
        <v>46246</v>
      </c>
      <c r="C15" s="1" t="str">
        <f>TEXT(B15,"mmmm")</f>
        <v>August</v>
      </c>
      <c r="D15" t="s">
        <v>18</v>
      </c>
      <c r="E15" t="s">
        <v>20</v>
      </c>
      <c r="F15" t="s">
        <v>21</v>
      </c>
      <c r="G15">
        <v>12</v>
      </c>
      <c r="H15">
        <v>2500</v>
      </c>
      <c r="I15" s="3">
        <v>165000</v>
      </c>
      <c r="J15" s="2">
        <f t="shared" si="0"/>
        <v>30000</v>
      </c>
      <c r="K15" s="2">
        <f t="shared" si="1"/>
        <v>550</v>
      </c>
    </row>
    <row r="16" spans="1:16">
      <c r="A16">
        <v>1013</v>
      </c>
      <c r="B16" s="1">
        <v>46247</v>
      </c>
      <c r="C16" s="1" t="str">
        <f>TEXT(B16,"mmmm")</f>
        <v>August</v>
      </c>
      <c r="D16" t="s">
        <v>15</v>
      </c>
      <c r="E16" t="s">
        <v>25</v>
      </c>
      <c r="F16" t="s">
        <v>21</v>
      </c>
      <c r="G16">
        <v>2</v>
      </c>
      <c r="H16">
        <v>55000</v>
      </c>
      <c r="I16" s="3">
        <v>165000</v>
      </c>
      <c r="J16" s="2">
        <f t="shared" si="0"/>
        <v>200000</v>
      </c>
      <c r="K16" s="2">
        <f t="shared" si="1"/>
        <v>82.5</v>
      </c>
    </row>
    <row r="17" spans="1:11">
      <c r="A17">
        <v>1014</v>
      </c>
      <c r="B17" s="1">
        <v>46248</v>
      </c>
      <c r="C17" s="1" t="str">
        <f>TEXT(B17,"mmmm")</f>
        <v>August</v>
      </c>
      <c r="D17" t="s">
        <v>19</v>
      </c>
      <c r="E17" t="s">
        <v>23</v>
      </c>
      <c r="F17" t="s">
        <v>26</v>
      </c>
      <c r="G17">
        <v>6</v>
      </c>
      <c r="H17">
        <v>22000</v>
      </c>
      <c r="I17" s="3">
        <v>165000</v>
      </c>
      <c r="J17" s="2">
        <f t="shared" si="0"/>
        <v>150000</v>
      </c>
      <c r="K17" s="2">
        <f t="shared" si="1"/>
        <v>110.00000000000001</v>
      </c>
    </row>
    <row r="18" spans="1:11">
      <c r="A18">
        <v>1015</v>
      </c>
      <c r="B18" s="1">
        <v>46249</v>
      </c>
      <c r="C18" s="1" t="str">
        <f>TEXT(B18,"mmmm")</f>
        <v>August</v>
      </c>
      <c r="D18" t="s">
        <v>22</v>
      </c>
      <c r="E18" t="s">
        <v>20</v>
      </c>
      <c r="F18" t="s">
        <v>17</v>
      </c>
      <c r="G18">
        <v>7</v>
      </c>
      <c r="H18">
        <v>18000</v>
      </c>
      <c r="I18" s="3">
        <v>165000</v>
      </c>
      <c r="J18" s="2">
        <f t="shared" si="0"/>
        <v>100000</v>
      </c>
      <c r="K18" s="2">
        <f t="shared" si="1"/>
        <v>165</v>
      </c>
    </row>
    <row r="19" spans="1:11">
      <c r="A19">
        <v>1016</v>
      </c>
      <c r="B19" s="1">
        <v>46250</v>
      </c>
      <c r="C19" s="1" t="str">
        <f>TEXT(B19,"mmmm")</f>
        <v>August</v>
      </c>
      <c r="D19" t="s">
        <v>18</v>
      </c>
      <c r="E19" t="s">
        <v>16</v>
      </c>
      <c r="F19" t="s">
        <v>24</v>
      </c>
      <c r="G19">
        <v>9</v>
      </c>
      <c r="H19">
        <v>2500</v>
      </c>
      <c r="I19" s="3">
        <v>165000</v>
      </c>
      <c r="J19" s="2">
        <f t="shared" si="0"/>
        <v>30000</v>
      </c>
      <c r="K19" s="2">
        <f t="shared" si="1"/>
        <v>550</v>
      </c>
    </row>
    <row r="20" spans="1:11">
      <c r="A20">
        <v>1017</v>
      </c>
      <c r="B20" s="1">
        <v>46251</v>
      </c>
      <c r="C20" s="1" t="str">
        <f>TEXT(B20,"mmmm")</f>
        <v>August</v>
      </c>
      <c r="D20" t="s">
        <v>15</v>
      </c>
      <c r="E20" t="s">
        <v>16</v>
      </c>
      <c r="F20" t="s">
        <v>26</v>
      </c>
      <c r="G20">
        <v>5</v>
      </c>
      <c r="H20">
        <v>55000</v>
      </c>
      <c r="I20" s="3">
        <v>165000</v>
      </c>
      <c r="J20" s="2">
        <f t="shared" si="0"/>
        <v>200000</v>
      </c>
      <c r="K20" s="2">
        <f t="shared" si="1"/>
        <v>82.5</v>
      </c>
    </row>
    <row r="21" spans="1:11">
      <c r="A21">
        <v>1018</v>
      </c>
      <c r="B21" s="1">
        <v>46252</v>
      </c>
      <c r="C21" s="1" t="str">
        <f>TEXT(B21,"mmmm")</f>
        <v>August</v>
      </c>
      <c r="D21" t="s">
        <v>19</v>
      </c>
      <c r="E21" t="s">
        <v>20</v>
      </c>
      <c r="F21" t="s">
        <v>24</v>
      </c>
      <c r="G21">
        <v>4</v>
      </c>
      <c r="H21">
        <v>22000</v>
      </c>
      <c r="I21" s="3">
        <v>165000</v>
      </c>
      <c r="J21" s="2">
        <f t="shared" si="0"/>
        <v>150000</v>
      </c>
      <c r="K21" s="2">
        <f t="shared" si="1"/>
        <v>110.00000000000001</v>
      </c>
    </row>
    <row r="22" spans="1:11">
      <c r="A22">
        <v>1019</v>
      </c>
      <c r="B22" s="1">
        <v>46253</v>
      </c>
      <c r="C22" s="1" t="str">
        <f>TEXT(B22,"mmmm")</f>
        <v>August</v>
      </c>
      <c r="D22" t="s">
        <v>22</v>
      </c>
      <c r="E22" t="s">
        <v>23</v>
      </c>
      <c r="F22" t="s">
        <v>17</v>
      </c>
      <c r="G22">
        <v>8</v>
      </c>
      <c r="H22">
        <v>18000</v>
      </c>
      <c r="I22" s="3">
        <v>165000</v>
      </c>
      <c r="J22" s="2">
        <f t="shared" si="0"/>
        <v>100000</v>
      </c>
      <c r="K22" s="2">
        <f t="shared" si="1"/>
        <v>165</v>
      </c>
    </row>
    <row r="23" spans="1:11">
      <c r="A23">
        <v>1020</v>
      </c>
      <c r="B23" s="1">
        <v>46254</v>
      </c>
      <c r="C23" s="1" t="str">
        <f>TEXT(B23,"mmmm")</f>
        <v>August</v>
      </c>
      <c r="D23" t="s">
        <v>18</v>
      </c>
      <c r="E23" t="s">
        <v>25</v>
      </c>
      <c r="F23" t="s">
        <v>21</v>
      </c>
      <c r="G23">
        <v>15</v>
      </c>
      <c r="H23">
        <v>2500</v>
      </c>
      <c r="I23" s="3">
        <v>165000</v>
      </c>
      <c r="J23" s="2">
        <f t="shared" si="0"/>
        <v>30000</v>
      </c>
      <c r="K23" s="2">
        <f t="shared" si="1"/>
        <v>550</v>
      </c>
    </row>
    <row r="24" spans="1:11">
      <c r="A24">
        <v>1021</v>
      </c>
      <c r="B24" s="1">
        <v>46255</v>
      </c>
      <c r="C24" s="1" t="str">
        <f>TEXT(B24,"mmmm")</f>
        <v>August</v>
      </c>
      <c r="D24" t="s">
        <v>15</v>
      </c>
      <c r="E24" t="s">
        <v>20</v>
      </c>
      <c r="F24" t="s">
        <v>24</v>
      </c>
      <c r="G24">
        <v>3</v>
      </c>
      <c r="H24">
        <v>55000</v>
      </c>
      <c r="I24" s="3">
        <v>165000</v>
      </c>
      <c r="J24" s="2">
        <f t="shared" si="0"/>
        <v>200000</v>
      </c>
      <c r="K24" s="2">
        <f t="shared" si="1"/>
        <v>82.5</v>
      </c>
    </row>
    <row r="25" spans="1:11">
      <c r="A25">
        <v>1022</v>
      </c>
      <c r="B25" s="1">
        <v>46256</v>
      </c>
      <c r="C25" s="1" t="str">
        <f>TEXT(B25,"mmmm")</f>
        <v>August</v>
      </c>
      <c r="D25" t="s">
        <v>19</v>
      </c>
      <c r="E25" t="s">
        <v>16</v>
      </c>
      <c r="F25" t="s">
        <v>21</v>
      </c>
      <c r="G25">
        <v>8</v>
      </c>
      <c r="H25">
        <v>22000</v>
      </c>
      <c r="I25" s="3">
        <v>165000</v>
      </c>
      <c r="J25" s="2">
        <f t="shared" si="0"/>
        <v>150000</v>
      </c>
      <c r="K25" s="2">
        <f t="shared" si="1"/>
        <v>110.00000000000001</v>
      </c>
    </row>
    <row r="26" spans="1:11">
      <c r="A26">
        <v>1023</v>
      </c>
      <c r="B26" s="1">
        <v>46257</v>
      </c>
      <c r="C26" s="1" t="str">
        <f>TEXT(B26,"mmmm")</f>
        <v>August</v>
      </c>
      <c r="D26" t="s">
        <v>22</v>
      </c>
      <c r="E26" t="s">
        <v>25</v>
      </c>
      <c r="F26" t="s">
        <v>26</v>
      </c>
      <c r="G26">
        <v>4</v>
      </c>
      <c r="H26">
        <v>18000</v>
      </c>
      <c r="I26" s="3">
        <v>165000</v>
      </c>
      <c r="J26" s="2">
        <f t="shared" si="0"/>
        <v>100000</v>
      </c>
      <c r="K26" s="2">
        <f t="shared" si="1"/>
        <v>165</v>
      </c>
    </row>
    <row r="27" spans="1:11">
      <c r="A27">
        <v>1024</v>
      </c>
      <c r="B27" s="1">
        <v>46258</v>
      </c>
      <c r="C27" s="1" t="str">
        <f>TEXT(B27,"mmmm")</f>
        <v>August</v>
      </c>
      <c r="D27" t="s">
        <v>18</v>
      </c>
      <c r="E27" t="s">
        <v>23</v>
      </c>
      <c r="F27" t="s">
        <v>17</v>
      </c>
      <c r="G27">
        <v>11</v>
      </c>
      <c r="H27">
        <v>2500</v>
      </c>
      <c r="I27" s="3">
        <v>165000</v>
      </c>
      <c r="J27" s="2">
        <f t="shared" si="0"/>
        <v>30000</v>
      </c>
      <c r="K27" s="2">
        <f t="shared" si="1"/>
        <v>550</v>
      </c>
    </row>
    <row r="28" spans="1:11">
      <c r="A28">
        <v>1025</v>
      </c>
      <c r="B28" s="1">
        <v>46259</v>
      </c>
      <c r="C28" s="1" t="str">
        <f>TEXT(B28,"mmmm")</f>
        <v>August</v>
      </c>
      <c r="D28" t="s">
        <v>15</v>
      </c>
      <c r="E28" t="s">
        <v>23</v>
      </c>
      <c r="F28" t="s">
        <v>21</v>
      </c>
      <c r="G28">
        <v>2</v>
      </c>
      <c r="H28">
        <v>55000</v>
      </c>
      <c r="I28" s="3">
        <v>165000</v>
      </c>
      <c r="J28" s="2">
        <f t="shared" si="0"/>
        <v>200000</v>
      </c>
      <c r="K28" s="2">
        <f t="shared" si="1"/>
        <v>82.5</v>
      </c>
    </row>
    <row r="29" spans="1:11">
      <c r="A29">
        <v>1026</v>
      </c>
      <c r="B29" s="1">
        <v>46260</v>
      </c>
      <c r="C29" s="1" t="str">
        <f>TEXT(B29,"mmmm")</f>
        <v>August</v>
      </c>
      <c r="D29" t="s">
        <v>19</v>
      </c>
      <c r="E29" t="s">
        <v>25</v>
      </c>
      <c r="F29" t="s">
        <v>24</v>
      </c>
      <c r="G29">
        <v>5</v>
      </c>
      <c r="H29">
        <v>22000</v>
      </c>
      <c r="I29" s="3">
        <v>165000</v>
      </c>
      <c r="J29" s="2">
        <f t="shared" si="0"/>
        <v>150000</v>
      </c>
      <c r="K29" s="2">
        <f t="shared" si="1"/>
        <v>110.00000000000001</v>
      </c>
    </row>
    <row r="30" spans="1:11">
      <c r="A30">
        <v>1027</v>
      </c>
      <c r="B30" s="1">
        <v>46261</v>
      </c>
      <c r="C30" s="1" t="str">
        <f>TEXT(B30,"mmmm")</f>
        <v>August</v>
      </c>
      <c r="D30" t="s">
        <v>22</v>
      </c>
      <c r="E30" t="s">
        <v>16</v>
      </c>
      <c r="F30" t="s">
        <v>17</v>
      </c>
      <c r="G30">
        <v>6</v>
      </c>
      <c r="H30">
        <v>18000</v>
      </c>
      <c r="I30" s="3">
        <v>165000</v>
      </c>
      <c r="J30" s="2">
        <f t="shared" si="0"/>
        <v>100000</v>
      </c>
      <c r="K30" s="2">
        <f t="shared" si="1"/>
        <v>165</v>
      </c>
    </row>
    <row r="31" spans="1:11">
      <c r="A31">
        <v>1028</v>
      </c>
      <c r="B31" s="1">
        <v>46262</v>
      </c>
      <c r="C31" s="1" t="str">
        <f>TEXT(B31,"mmmm")</f>
        <v>August</v>
      </c>
      <c r="D31" t="s">
        <v>18</v>
      </c>
      <c r="E31" t="s">
        <v>20</v>
      </c>
      <c r="F31" t="s">
        <v>26</v>
      </c>
      <c r="G31">
        <v>14</v>
      </c>
      <c r="H31">
        <v>2500</v>
      </c>
      <c r="I31" s="3">
        <v>165000</v>
      </c>
      <c r="J31" s="2">
        <f t="shared" si="0"/>
        <v>30000</v>
      </c>
      <c r="K31" s="2">
        <f t="shared" si="1"/>
        <v>550</v>
      </c>
    </row>
    <row r="32" spans="1:11">
      <c r="A32">
        <v>1029</v>
      </c>
      <c r="B32" s="1">
        <v>46263</v>
      </c>
      <c r="C32" s="1" t="str">
        <f>TEXT(B32,"mmmm")</f>
        <v>August</v>
      </c>
      <c r="D32" t="s">
        <v>15</v>
      </c>
      <c r="E32" t="s">
        <v>25</v>
      </c>
      <c r="F32" t="s">
        <v>26</v>
      </c>
      <c r="G32">
        <v>4</v>
      </c>
      <c r="H32">
        <v>55000</v>
      </c>
      <c r="I32" s="3">
        <v>165000</v>
      </c>
      <c r="J32" s="2">
        <f t="shared" si="0"/>
        <v>200000</v>
      </c>
      <c r="K32" s="2">
        <f t="shared" si="1"/>
        <v>82.5</v>
      </c>
    </row>
    <row r="33" spans="1:11">
      <c r="A33">
        <v>1030</v>
      </c>
      <c r="B33" s="1">
        <v>46264</v>
      </c>
      <c r="C33" s="1" t="str">
        <f>TEXT(B33,"mmmm")</f>
        <v>August</v>
      </c>
      <c r="D33" t="s">
        <v>19</v>
      </c>
      <c r="E33" t="s">
        <v>23</v>
      </c>
      <c r="F33" t="s">
        <v>17</v>
      </c>
      <c r="G33">
        <v>7</v>
      </c>
      <c r="H33">
        <v>22000</v>
      </c>
      <c r="I33" s="3">
        <v>165000</v>
      </c>
      <c r="J33" s="2">
        <f t="shared" si="0"/>
        <v>150000</v>
      </c>
      <c r="K33" s="2">
        <f t="shared" si="1"/>
        <v>110.00000000000001</v>
      </c>
    </row>
    <row r="34" spans="1:11">
      <c r="A34">
        <v>1031</v>
      </c>
      <c r="B34" s="1">
        <v>46265</v>
      </c>
      <c r="C34" s="1" t="str">
        <f>TEXT(B34,"mmmm")</f>
        <v>August</v>
      </c>
      <c r="D34" t="s">
        <v>22</v>
      </c>
      <c r="E34" t="s">
        <v>20</v>
      </c>
      <c r="F34" t="s">
        <v>21</v>
      </c>
      <c r="G34">
        <v>5</v>
      </c>
      <c r="H34">
        <v>18000</v>
      </c>
      <c r="I34" s="3">
        <v>165000</v>
      </c>
      <c r="J34" s="2">
        <f t="shared" si="0"/>
        <v>100000</v>
      </c>
      <c r="K34" s="2">
        <f t="shared" si="1"/>
        <v>165</v>
      </c>
    </row>
    <row r="35" spans="1:11">
      <c r="A35">
        <v>1032</v>
      </c>
      <c r="B35" s="1">
        <v>46266</v>
      </c>
      <c r="C35" s="1" t="str">
        <f>TEXT(B35,"mmmm")</f>
        <v>September</v>
      </c>
      <c r="D35" t="s">
        <v>18</v>
      </c>
      <c r="E35" t="s">
        <v>16</v>
      </c>
      <c r="F35" t="s">
        <v>24</v>
      </c>
      <c r="G35">
        <v>13</v>
      </c>
      <c r="H35">
        <v>2500</v>
      </c>
      <c r="I35" s="3">
        <v>165000</v>
      </c>
      <c r="J35" s="2">
        <f t="shared" si="0"/>
        <v>30000</v>
      </c>
      <c r="K35" s="2">
        <f t="shared" si="1"/>
        <v>550</v>
      </c>
    </row>
    <row r="36" spans="1:11">
      <c r="A36">
        <v>1033</v>
      </c>
      <c r="B36" s="1">
        <v>46267</v>
      </c>
      <c r="C36" s="1" t="str">
        <f>TEXT(B36,"mmmm")</f>
        <v>September</v>
      </c>
      <c r="D36" t="s">
        <v>15</v>
      </c>
      <c r="E36" t="s">
        <v>16</v>
      </c>
      <c r="F36" t="s">
        <v>21</v>
      </c>
      <c r="G36">
        <v>3</v>
      </c>
      <c r="H36">
        <v>55000</v>
      </c>
      <c r="I36" s="3">
        <v>165000</v>
      </c>
      <c r="J36" s="2">
        <f t="shared" si="0"/>
        <v>200000</v>
      </c>
      <c r="K36" s="2">
        <f t="shared" si="1"/>
        <v>82.5</v>
      </c>
    </row>
    <row r="37" spans="1:11">
      <c r="A37">
        <v>1034</v>
      </c>
      <c r="B37" s="1">
        <v>46268</v>
      </c>
      <c r="C37" s="1" t="str">
        <f>TEXT(B37,"mmmm")</f>
        <v>September</v>
      </c>
      <c r="D37" t="s">
        <v>19</v>
      </c>
      <c r="E37" t="s">
        <v>20</v>
      </c>
      <c r="F37" t="s">
        <v>26</v>
      </c>
      <c r="G37">
        <v>6</v>
      </c>
      <c r="H37">
        <v>22000</v>
      </c>
      <c r="I37" s="3">
        <v>165000</v>
      </c>
      <c r="J37" s="2">
        <f t="shared" si="0"/>
        <v>150000</v>
      </c>
      <c r="K37" s="2">
        <f t="shared" si="1"/>
        <v>110.00000000000001</v>
      </c>
    </row>
    <row r="38" spans="1:11">
      <c r="A38">
        <v>1035</v>
      </c>
      <c r="B38" s="1">
        <v>46269</v>
      </c>
      <c r="C38" s="1" t="str">
        <f>TEXT(B38,"mmmm")</f>
        <v>September</v>
      </c>
      <c r="D38" t="s">
        <v>22</v>
      </c>
      <c r="E38" t="s">
        <v>23</v>
      </c>
      <c r="F38" t="s">
        <v>24</v>
      </c>
      <c r="G38">
        <v>9</v>
      </c>
      <c r="H38">
        <v>18000</v>
      </c>
      <c r="I38" s="3">
        <v>165000</v>
      </c>
      <c r="J38" s="2">
        <f t="shared" si="0"/>
        <v>100000</v>
      </c>
      <c r="K38" s="2">
        <f t="shared" si="1"/>
        <v>165</v>
      </c>
    </row>
    <row r="39" spans="1:11">
      <c r="A39">
        <v>1036</v>
      </c>
      <c r="B39" s="1">
        <v>46270</v>
      </c>
      <c r="C39" s="1" t="str">
        <f>TEXT(B39,"mmmm")</f>
        <v>September</v>
      </c>
      <c r="D39" t="s">
        <v>18</v>
      </c>
      <c r="E39" t="s">
        <v>25</v>
      </c>
      <c r="F39" t="s">
        <v>17</v>
      </c>
      <c r="G39">
        <v>16</v>
      </c>
      <c r="H39">
        <v>2500</v>
      </c>
      <c r="I39" s="3">
        <v>165000</v>
      </c>
      <c r="J39" s="2">
        <f t="shared" si="0"/>
        <v>30000</v>
      </c>
      <c r="K39" s="2">
        <f t="shared" si="1"/>
        <v>550</v>
      </c>
    </row>
    <row r="40" spans="1:11">
      <c r="A40">
        <v>1037</v>
      </c>
      <c r="B40" s="1">
        <v>46271</v>
      </c>
      <c r="C40" s="1" t="str">
        <f>TEXT(B40,"mmmm")</f>
        <v>September</v>
      </c>
      <c r="D40" t="s">
        <v>15</v>
      </c>
      <c r="E40" t="s">
        <v>20</v>
      </c>
      <c r="F40" t="s">
        <v>26</v>
      </c>
      <c r="G40">
        <v>2</v>
      </c>
      <c r="H40">
        <v>55000</v>
      </c>
      <c r="I40" s="3">
        <v>165000</v>
      </c>
      <c r="J40" s="2">
        <f t="shared" si="0"/>
        <v>200000</v>
      </c>
      <c r="K40" s="2">
        <f t="shared" si="1"/>
        <v>82.5</v>
      </c>
    </row>
    <row r="41" spans="1:11">
      <c r="A41">
        <v>1038</v>
      </c>
      <c r="B41" s="1">
        <v>46272</v>
      </c>
      <c r="C41" s="1" t="str">
        <f>TEXT(B41,"mmmm")</f>
        <v>September</v>
      </c>
      <c r="D41" t="s">
        <v>19</v>
      </c>
      <c r="E41" t="s">
        <v>16</v>
      </c>
      <c r="F41" t="s">
        <v>17</v>
      </c>
      <c r="G41">
        <v>9</v>
      </c>
      <c r="H41">
        <v>22000</v>
      </c>
      <c r="I41" s="3">
        <v>165000</v>
      </c>
      <c r="J41" s="2">
        <f t="shared" si="0"/>
        <v>150000</v>
      </c>
      <c r="K41" s="2">
        <f t="shared" si="1"/>
        <v>110.00000000000001</v>
      </c>
    </row>
    <row r="42" spans="1:11">
      <c r="A42">
        <v>1039</v>
      </c>
      <c r="B42" s="1">
        <v>46273</v>
      </c>
      <c r="C42" s="1" t="str">
        <f>TEXT(B42,"mmmm")</f>
        <v>September</v>
      </c>
      <c r="D42" t="s">
        <v>22</v>
      </c>
      <c r="E42" t="s">
        <v>25</v>
      </c>
      <c r="F42" t="s">
        <v>24</v>
      </c>
      <c r="G42">
        <v>6</v>
      </c>
      <c r="H42">
        <v>18000</v>
      </c>
      <c r="I42" s="3">
        <v>165000</v>
      </c>
      <c r="J42" s="2">
        <f t="shared" si="0"/>
        <v>100000</v>
      </c>
      <c r="K42" s="2">
        <f t="shared" si="1"/>
        <v>165</v>
      </c>
    </row>
    <row r="43" spans="1:11">
      <c r="A43">
        <v>1040</v>
      </c>
      <c r="B43" s="1">
        <v>46274</v>
      </c>
      <c r="C43" s="1" t="str">
        <f>TEXT(B43,"mmmm")</f>
        <v>September</v>
      </c>
      <c r="D43" t="s">
        <v>18</v>
      </c>
      <c r="E43" t="s">
        <v>23</v>
      </c>
      <c r="F43" t="s">
        <v>21</v>
      </c>
      <c r="G43">
        <v>12</v>
      </c>
      <c r="H43">
        <v>2500</v>
      </c>
      <c r="I43" s="3">
        <v>165000</v>
      </c>
      <c r="J43" s="2">
        <f t="shared" si="0"/>
        <v>30000</v>
      </c>
      <c r="K43" s="2">
        <f t="shared" si="1"/>
        <v>550</v>
      </c>
    </row>
    <row r="44" spans="1:11">
      <c r="A44">
        <v>1041</v>
      </c>
      <c r="B44" s="1">
        <v>46275</v>
      </c>
      <c r="C44" s="1" t="str">
        <f>TEXT(B44,"mmmm")</f>
        <v>September</v>
      </c>
      <c r="D44" t="s">
        <v>15</v>
      </c>
      <c r="E44" t="s">
        <v>23</v>
      </c>
      <c r="F44" t="s">
        <v>17</v>
      </c>
      <c r="G44">
        <v>5</v>
      </c>
      <c r="H44">
        <v>55000</v>
      </c>
      <c r="I44" s="3">
        <v>165000</v>
      </c>
      <c r="J44" s="2">
        <f t="shared" si="0"/>
        <v>200000</v>
      </c>
      <c r="K44" s="2">
        <f t="shared" si="1"/>
        <v>82.5</v>
      </c>
    </row>
    <row r="45" spans="1:11">
      <c r="A45">
        <v>1042</v>
      </c>
      <c r="B45" s="1">
        <v>46276</v>
      </c>
      <c r="C45" s="1" t="str">
        <f>TEXT(B45,"mmmm")</f>
        <v>September</v>
      </c>
      <c r="D45" t="s">
        <v>19</v>
      </c>
      <c r="E45" t="s">
        <v>25</v>
      </c>
      <c r="F45" t="s">
        <v>21</v>
      </c>
      <c r="G45">
        <v>4</v>
      </c>
      <c r="H45">
        <v>22000</v>
      </c>
      <c r="I45" s="3">
        <v>165000</v>
      </c>
      <c r="J45" s="2">
        <f t="shared" si="0"/>
        <v>150000</v>
      </c>
      <c r="K45" s="2">
        <f t="shared" si="1"/>
        <v>110.00000000000001</v>
      </c>
    </row>
    <row r="46" spans="1:11">
      <c r="A46">
        <v>1043</v>
      </c>
      <c r="B46" s="1">
        <v>46277</v>
      </c>
      <c r="C46" s="1" t="str">
        <f>TEXT(B46,"mmmm")</f>
        <v>September</v>
      </c>
      <c r="D46" t="s">
        <v>22</v>
      </c>
      <c r="E46" t="s">
        <v>16</v>
      </c>
      <c r="F46" t="s">
        <v>26</v>
      </c>
      <c r="G46">
        <v>7</v>
      </c>
      <c r="H46">
        <v>18000</v>
      </c>
      <c r="I46" s="3">
        <v>165000</v>
      </c>
      <c r="J46" s="2">
        <f t="shared" si="0"/>
        <v>100000</v>
      </c>
      <c r="K46" s="2">
        <f t="shared" si="1"/>
        <v>165</v>
      </c>
    </row>
    <row r="47" spans="1:11">
      <c r="A47">
        <v>1044</v>
      </c>
      <c r="B47" s="1">
        <v>46278</v>
      </c>
      <c r="C47" s="1" t="str">
        <f>TEXT(B47,"mmmm")</f>
        <v>September</v>
      </c>
      <c r="D47" t="s">
        <v>18</v>
      </c>
      <c r="E47" t="s">
        <v>20</v>
      </c>
      <c r="F47" t="s">
        <v>24</v>
      </c>
      <c r="G47">
        <v>18</v>
      </c>
      <c r="H47">
        <v>2500</v>
      </c>
      <c r="I47" s="3">
        <v>165000</v>
      </c>
      <c r="J47" s="2">
        <f t="shared" si="0"/>
        <v>30000</v>
      </c>
      <c r="K47" s="2">
        <f t="shared" si="1"/>
        <v>550</v>
      </c>
    </row>
    <row r="48" spans="1:11">
      <c r="A48">
        <v>1045</v>
      </c>
      <c r="B48" s="1">
        <v>46279</v>
      </c>
      <c r="C48" s="1" t="str">
        <f>TEXT(B48,"mmmm")</f>
        <v>September</v>
      </c>
      <c r="D48" t="s">
        <v>15</v>
      </c>
      <c r="E48" t="s">
        <v>25</v>
      </c>
      <c r="F48" t="s">
        <v>24</v>
      </c>
      <c r="G48">
        <v>3</v>
      </c>
      <c r="H48">
        <v>55000</v>
      </c>
      <c r="I48" s="3">
        <v>165000</v>
      </c>
      <c r="J48" s="2">
        <f t="shared" si="0"/>
        <v>200000</v>
      </c>
      <c r="K48" s="2">
        <f t="shared" si="1"/>
        <v>82.5</v>
      </c>
    </row>
    <row r="49" spans="1:11">
      <c r="A49">
        <v>1046</v>
      </c>
      <c r="B49" s="1">
        <v>46280</v>
      </c>
      <c r="C49" s="1" t="str">
        <f>TEXT(B49,"mmmm")</f>
        <v>September</v>
      </c>
      <c r="D49" t="s">
        <v>19</v>
      </c>
      <c r="E49" t="s">
        <v>23</v>
      </c>
      <c r="F49" t="s">
        <v>26</v>
      </c>
      <c r="G49">
        <v>8</v>
      </c>
      <c r="H49">
        <v>22000</v>
      </c>
      <c r="I49" s="3">
        <v>165000</v>
      </c>
      <c r="J49" s="2">
        <f t="shared" si="0"/>
        <v>150000</v>
      </c>
      <c r="K49" s="2">
        <f t="shared" si="1"/>
        <v>110.00000000000001</v>
      </c>
    </row>
    <row r="50" spans="1:11">
      <c r="A50">
        <v>1047</v>
      </c>
      <c r="B50" s="1">
        <v>46281</v>
      </c>
      <c r="C50" s="1" t="str">
        <f>TEXT(B50,"mmmm")</f>
        <v>September</v>
      </c>
      <c r="D50" t="s">
        <v>22</v>
      </c>
      <c r="E50" t="s">
        <v>20</v>
      </c>
      <c r="F50" t="s">
        <v>17</v>
      </c>
      <c r="G50">
        <v>6</v>
      </c>
      <c r="H50">
        <v>18000</v>
      </c>
      <c r="I50" s="3">
        <v>165000</v>
      </c>
      <c r="J50" s="2">
        <f t="shared" si="0"/>
        <v>100000</v>
      </c>
      <c r="K50" s="2">
        <f t="shared" si="1"/>
        <v>165</v>
      </c>
    </row>
    <row r="51" spans="1:11">
      <c r="A51">
        <v>1048</v>
      </c>
      <c r="B51" s="1">
        <v>46282</v>
      </c>
      <c r="C51" s="1" t="str">
        <f>TEXT(B51,"mmmm")</f>
        <v>September</v>
      </c>
      <c r="D51" t="s">
        <v>18</v>
      </c>
      <c r="E51" t="s">
        <v>16</v>
      </c>
      <c r="F51" t="s">
        <v>21</v>
      </c>
      <c r="G51">
        <v>10</v>
      </c>
      <c r="H51">
        <v>2500</v>
      </c>
      <c r="I51" s="3">
        <v>165000</v>
      </c>
      <c r="J51" s="2">
        <f t="shared" si="0"/>
        <v>30000</v>
      </c>
      <c r="K51" s="2">
        <f t="shared" si="1"/>
        <v>550</v>
      </c>
    </row>
    <row r="52" spans="1:11">
      <c r="A52">
        <v>1049</v>
      </c>
      <c r="B52" s="1">
        <v>46283</v>
      </c>
      <c r="C52" s="1" t="str">
        <f>TEXT(B52,"mmmm")</f>
        <v>September</v>
      </c>
      <c r="D52" t="s">
        <v>15</v>
      </c>
      <c r="E52" t="s">
        <v>16</v>
      </c>
      <c r="F52" t="s">
        <v>24</v>
      </c>
      <c r="G52">
        <v>4</v>
      </c>
      <c r="H52">
        <v>55000</v>
      </c>
      <c r="I52" s="3">
        <v>165000</v>
      </c>
      <c r="J52" s="2">
        <f t="shared" si="0"/>
        <v>200000</v>
      </c>
      <c r="K52" s="2">
        <f t="shared" si="1"/>
        <v>82.5</v>
      </c>
    </row>
    <row r="53" spans="1:11">
      <c r="A53">
        <v>1050</v>
      </c>
      <c r="B53" s="1">
        <v>46284</v>
      </c>
      <c r="C53" s="1" t="str">
        <f>TEXT(B53,"mmmm")</f>
        <v>September</v>
      </c>
      <c r="D53" t="s">
        <v>19</v>
      </c>
      <c r="E53" t="s">
        <v>20</v>
      </c>
      <c r="F53" t="s">
        <v>17</v>
      </c>
      <c r="G53">
        <v>7</v>
      </c>
      <c r="H53">
        <v>22000</v>
      </c>
      <c r="I53" s="3">
        <v>165000</v>
      </c>
      <c r="J53" s="2">
        <f t="shared" si="0"/>
        <v>150000</v>
      </c>
      <c r="K53" s="2">
        <f t="shared" si="1"/>
        <v>110.00000000000001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C5CF-4B90-4BC1-AD8E-B9ED6B4B70C5}">
  <dimension ref="A1:R53"/>
  <sheetViews>
    <sheetView workbookViewId="0">
      <selection sqref="A1:G1"/>
    </sheetView>
  </sheetViews>
  <sheetFormatPr defaultRowHeight="15"/>
  <cols>
    <col min="2" max="2" width="11.42578125" bestFit="1" customWidth="1"/>
    <col min="13" max="13" width="20.42578125" bestFit="1" customWidth="1"/>
    <col min="14" max="14" width="12.28515625" bestFit="1" customWidth="1"/>
    <col min="15" max="17" width="11.42578125" bestFit="1" customWidth="1"/>
    <col min="18" max="18" width="11.7109375" bestFit="1" customWidth="1"/>
  </cols>
  <sheetData>
    <row r="1" spans="1:18" ht="18.75">
      <c r="A1" s="9" t="s">
        <v>28</v>
      </c>
      <c r="B1" s="10"/>
      <c r="C1" s="10"/>
      <c r="D1" s="10"/>
      <c r="E1" s="10"/>
      <c r="F1" s="10"/>
      <c r="G1" s="11"/>
    </row>
    <row r="3" spans="1:1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M3" s="4" t="s">
        <v>13</v>
      </c>
      <c r="N3" s="4" t="s">
        <v>4</v>
      </c>
    </row>
    <row r="4" spans="1:18">
      <c r="A4">
        <v>1001</v>
      </c>
      <c r="B4" s="1">
        <v>46235</v>
      </c>
      <c r="C4" s="1" t="str">
        <f>TEXT(B4,"mmmm")</f>
        <v>August</v>
      </c>
      <c r="D4" t="s">
        <v>15</v>
      </c>
      <c r="E4" t="s">
        <v>16</v>
      </c>
      <c r="F4" t="s">
        <v>17</v>
      </c>
      <c r="G4">
        <v>3</v>
      </c>
      <c r="H4">
        <v>55000</v>
      </c>
      <c r="I4" s="3">
        <v>165000</v>
      </c>
      <c r="J4" s="2">
        <f>IF(D4 = "Laptop",200000,IF( D4 = "Mobile",150000,IF(D4 = "Tablet",100000,IF(D4 = "Headphones",30000,""))))</f>
        <v>200000</v>
      </c>
      <c r="K4" s="2">
        <f>I4/J4*100</f>
        <v>82.5</v>
      </c>
      <c r="M4" s="4" t="s">
        <v>6</v>
      </c>
      <c r="N4" t="s">
        <v>18</v>
      </c>
      <c r="O4" t="s">
        <v>15</v>
      </c>
      <c r="P4" t="s">
        <v>19</v>
      </c>
      <c r="Q4" t="s">
        <v>22</v>
      </c>
      <c r="R4" t="s">
        <v>27</v>
      </c>
    </row>
    <row r="5" spans="1:18">
      <c r="A5">
        <v>1002</v>
      </c>
      <c r="B5" s="1">
        <v>46236</v>
      </c>
      <c r="C5" s="1" t="str">
        <f>TEXT(B5,"mmmm")</f>
        <v>August</v>
      </c>
      <c r="D5" t="s">
        <v>19</v>
      </c>
      <c r="E5" t="s">
        <v>20</v>
      </c>
      <c r="F5" t="s">
        <v>21</v>
      </c>
      <c r="G5">
        <v>5</v>
      </c>
      <c r="H5">
        <v>22000</v>
      </c>
      <c r="I5" s="3">
        <v>165000</v>
      </c>
      <c r="J5" s="2">
        <f t="shared" ref="J5:J53" si="0">IF(D5 = "Laptop",200000,IF( D5 = "Mobile",150000,IF(D5 = "Tablet",100000,IF(D5 = "Headphones",30000,""))))</f>
        <v>150000</v>
      </c>
      <c r="K5" s="2">
        <f t="shared" ref="K5:K53" si="1">I5/J5*100</f>
        <v>110.00000000000001</v>
      </c>
      <c r="M5" t="s">
        <v>17</v>
      </c>
      <c r="N5" s="3">
        <v>330000</v>
      </c>
      <c r="O5" s="3">
        <v>495000</v>
      </c>
      <c r="P5" s="3">
        <v>660000</v>
      </c>
      <c r="Q5" s="3">
        <v>660000</v>
      </c>
      <c r="R5" s="3">
        <v>2145000</v>
      </c>
    </row>
    <row r="6" spans="1:18">
      <c r="A6">
        <v>1003</v>
      </c>
      <c r="B6" s="1">
        <v>46237</v>
      </c>
      <c r="C6" s="1" t="str">
        <f>TEXT(B6,"mmmm")</f>
        <v>August</v>
      </c>
      <c r="D6" t="s">
        <v>22</v>
      </c>
      <c r="E6" t="s">
        <v>23</v>
      </c>
      <c r="F6" t="s">
        <v>24</v>
      </c>
      <c r="G6">
        <v>4</v>
      </c>
      <c r="H6">
        <v>18000</v>
      </c>
      <c r="I6" s="3">
        <v>165000</v>
      </c>
      <c r="J6" s="2">
        <f t="shared" si="0"/>
        <v>100000</v>
      </c>
      <c r="K6" s="2">
        <f t="shared" si="1"/>
        <v>165</v>
      </c>
      <c r="M6" t="s">
        <v>24</v>
      </c>
      <c r="N6" s="3">
        <v>495000</v>
      </c>
      <c r="O6" s="3">
        <v>660000</v>
      </c>
      <c r="P6" s="3">
        <v>495000</v>
      </c>
      <c r="Q6" s="3">
        <v>495000</v>
      </c>
      <c r="R6" s="3">
        <v>2145000</v>
      </c>
    </row>
    <row r="7" spans="1:18">
      <c r="A7">
        <v>1004</v>
      </c>
      <c r="B7" s="1">
        <v>46238</v>
      </c>
      <c r="C7" s="1" t="str">
        <f>TEXT(B7,"mmmm")</f>
        <v>August</v>
      </c>
      <c r="D7" t="s">
        <v>18</v>
      </c>
      <c r="E7" t="s">
        <v>25</v>
      </c>
      <c r="F7" t="s">
        <v>26</v>
      </c>
      <c r="G7">
        <v>8</v>
      </c>
      <c r="H7">
        <v>2500</v>
      </c>
      <c r="I7" s="3">
        <v>165000</v>
      </c>
      <c r="J7" s="2">
        <f t="shared" si="0"/>
        <v>30000</v>
      </c>
      <c r="K7" s="2">
        <f t="shared" si="1"/>
        <v>550</v>
      </c>
      <c r="M7" t="s">
        <v>26</v>
      </c>
      <c r="N7" s="3">
        <v>495000</v>
      </c>
      <c r="O7" s="3">
        <v>495000</v>
      </c>
      <c r="P7" s="3">
        <v>495000</v>
      </c>
      <c r="Q7" s="3">
        <v>495000</v>
      </c>
      <c r="R7" s="3">
        <v>1980000</v>
      </c>
    </row>
    <row r="8" spans="1:18">
      <c r="A8">
        <v>1005</v>
      </c>
      <c r="B8" s="1">
        <v>46239</v>
      </c>
      <c r="C8" s="1" t="str">
        <f>TEXT(B8,"mmmm")</f>
        <v>August</v>
      </c>
      <c r="D8" t="s">
        <v>15</v>
      </c>
      <c r="E8" t="s">
        <v>20</v>
      </c>
      <c r="F8" t="s">
        <v>17</v>
      </c>
      <c r="G8">
        <v>2</v>
      </c>
      <c r="H8">
        <v>55000</v>
      </c>
      <c r="I8" s="3">
        <v>165000</v>
      </c>
      <c r="J8" s="2">
        <f t="shared" si="0"/>
        <v>200000</v>
      </c>
      <c r="K8" s="2">
        <f t="shared" si="1"/>
        <v>82.5</v>
      </c>
      <c r="M8" t="s">
        <v>21</v>
      </c>
      <c r="N8" s="3">
        <v>660000</v>
      </c>
      <c r="O8" s="3">
        <v>495000</v>
      </c>
      <c r="P8" s="3">
        <v>495000</v>
      </c>
      <c r="Q8" s="3">
        <v>330000</v>
      </c>
      <c r="R8" s="3">
        <v>1980000</v>
      </c>
    </row>
    <row r="9" spans="1:18">
      <c r="A9">
        <v>1006</v>
      </c>
      <c r="B9" s="1">
        <v>46240</v>
      </c>
      <c r="C9" s="1" t="str">
        <f>TEXT(B9,"mmmm")</f>
        <v>August</v>
      </c>
      <c r="D9" t="s">
        <v>19</v>
      </c>
      <c r="E9" t="s">
        <v>16</v>
      </c>
      <c r="F9" t="s">
        <v>24</v>
      </c>
      <c r="G9">
        <v>7</v>
      </c>
      <c r="H9">
        <v>22000</v>
      </c>
      <c r="I9" s="3">
        <v>165000</v>
      </c>
      <c r="J9" s="2">
        <f t="shared" si="0"/>
        <v>150000</v>
      </c>
      <c r="K9" s="2">
        <f t="shared" si="1"/>
        <v>110.00000000000001</v>
      </c>
      <c r="M9" t="s">
        <v>27</v>
      </c>
      <c r="N9" s="3">
        <v>1980000</v>
      </c>
      <c r="O9" s="3">
        <v>2145000</v>
      </c>
      <c r="P9" s="3">
        <v>2145000</v>
      </c>
      <c r="Q9" s="3">
        <v>1980000</v>
      </c>
      <c r="R9" s="3">
        <v>8250000</v>
      </c>
    </row>
    <row r="10" spans="1:18">
      <c r="A10">
        <v>1007</v>
      </c>
      <c r="B10" s="1">
        <v>46241</v>
      </c>
      <c r="C10" s="1" t="str">
        <f>TEXT(B10,"mmmm")</f>
        <v>August</v>
      </c>
      <c r="D10" t="s">
        <v>22</v>
      </c>
      <c r="E10" t="s">
        <v>25</v>
      </c>
      <c r="F10" t="s">
        <v>21</v>
      </c>
      <c r="G10">
        <v>6</v>
      </c>
      <c r="H10">
        <v>18000</v>
      </c>
      <c r="I10" s="3">
        <v>165000</v>
      </c>
      <c r="J10" s="2">
        <f t="shared" si="0"/>
        <v>100000</v>
      </c>
      <c r="K10" s="2">
        <f t="shared" si="1"/>
        <v>165</v>
      </c>
    </row>
    <row r="11" spans="1:18">
      <c r="A11">
        <v>1008</v>
      </c>
      <c r="B11" s="1">
        <v>46242</v>
      </c>
      <c r="C11" s="1" t="str">
        <f>TEXT(B11,"mmmm")</f>
        <v>August</v>
      </c>
      <c r="D11" t="s">
        <v>18</v>
      </c>
      <c r="E11" t="s">
        <v>23</v>
      </c>
      <c r="F11" t="s">
        <v>26</v>
      </c>
      <c r="G11">
        <v>10</v>
      </c>
      <c r="H11">
        <v>2500</v>
      </c>
      <c r="I11" s="3">
        <v>165000</v>
      </c>
      <c r="J11" s="2">
        <f t="shared" si="0"/>
        <v>30000</v>
      </c>
      <c r="K11" s="2">
        <f t="shared" si="1"/>
        <v>550</v>
      </c>
    </row>
    <row r="12" spans="1:18">
      <c r="A12">
        <v>1009</v>
      </c>
      <c r="B12" s="1">
        <v>46243</v>
      </c>
      <c r="C12" s="1" t="str">
        <f>TEXT(B12,"mmmm")</f>
        <v>August</v>
      </c>
      <c r="D12" t="s">
        <v>15</v>
      </c>
      <c r="E12" t="s">
        <v>23</v>
      </c>
      <c r="F12" t="s">
        <v>24</v>
      </c>
      <c r="G12">
        <v>4</v>
      </c>
      <c r="H12">
        <v>55000</v>
      </c>
      <c r="I12" s="3">
        <v>165000</v>
      </c>
      <c r="J12" s="2">
        <f t="shared" si="0"/>
        <v>200000</v>
      </c>
      <c r="K12" s="2">
        <f t="shared" si="1"/>
        <v>82.5</v>
      </c>
    </row>
    <row r="13" spans="1:18">
      <c r="A13">
        <v>1010</v>
      </c>
      <c r="B13" s="1">
        <v>46244</v>
      </c>
      <c r="C13" s="1" t="str">
        <f>TEXT(B13,"mmmm")</f>
        <v>August</v>
      </c>
      <c r="D13" t="s">
        <v>19</v>
      </c>
      <c r="E13" t="s">
        <v>25</v>
      </c>
      <c r="F13" t="s">
        <v>17</v>
      </c>
      <c r="G13">
        <v>3</v>
      </c>
      <c r="H13">
        <v>22000</v>
      </c>
      <c r="I13" s="3">
        <v>165000</v>
      </c>
      <c r="J13" s="2">
        <f t="shared" si="0"/>
        <v>150000</v>
      </c>
      <c r="K13" s="2">
        <f t="shared" si="1"/>
        <v>110.00000000000001</v>
      </c>
    </row>
    <row r="14" spans="1:18">
      <c r="A14">
        <v>1011</v>
      </c>
      <c r="B14" s="1">
        <v>46245</v>
      </c>
      <c r="C14" s="1" t="str">
        <f>TEXT(B14,"mmmm")</f>
        <v>August</v>
      </c>
      <c r="D14" t="s">
        <v>22</v>
      </c>
      <c r="E14" t="s">
        <v>16</v>
      </c>
      <c r="F14" t="s">
        <v>26</v>
      </c>
      <c r="G14">
        <v>5</v>
      </c>
      <c r="H14">
        <v>18000</v>
      </c>
      <c r="I14" s="3">
        <v>165000</v>
      </c>
      <c r="J14" s="2">
        <f t="shared" si="0"/>
        <v>100000</v>
      </c>
      <c r="K14" s="2">
        <f t="shared" si="1"/>
        <v>165</v>
      </c>
    </row>
    <row r="15" spans="1:18">
      <c r="A15">
        <v>1012</v>
      </c>
      <c r="B15" s="1">
        <v>46246</v>
      </c>
      <c r="C15" s="1" t="str">
        <f>TEXT(B15,"mmmm")</f>
        <v>August</v>
      </c>
      <c r="D15" t="s">
        <v>18</v>
      </c>
      <c r="E15" t="s">
        <v>20</v>
      </c>
      <c r="F15" t="s">
        <v>21</v>
      </c>
      <c r="G15">
        <v>12</v>
      </c>
      <c r="H15">
        <v>2500</v>
      </c>
      <c r="I15" s="3">
        <v>165000</v>
      </c>
      <c r="J15" s="2">
        <f t="shared" si="0"/>
        <v>30000</v>
      </c>
      <c r="K15" s="2">
        <f t="shared" si="1"/>
        <v>550</v>
      </c>
    </row>
    <row r="16" spans="1:18">
      <c r="A16">
        <v>1013</v>
      </c>
      <c r="B16" s="1">
        <v>46247</v>
      </c>
      <c r="C16" s="1" t="str">
        <f>TEXT(B16,"mmmm")</f>
        <v>August</v>
      </c>
      <c r="D16" t="s">
        <v>15</v>
      </c>
      <c r="E16" t="s">
        <v>25</v>
      </c>
      <c r="F16" t="s">
        <v>21</v>
      </c>
      <c r="G16">
        <v>2</v>
      </c>
      <c r="H16">
        <v>55000</v>
      </c>
      <c r="I16" s="3">
        <v>165000</v>
      </c>
      <c r="J16" s="2">
        <f t="shared" si="0"/>
        <v>200000</v>
      </c>
      <c r="K16" s="2">
        <f t="shared" si="1"/>
        <v>82.5</v>
      </c>
    </row>
    <row r="17" spans="1:11">
      <c r="A17">
        <v>1014</v>
      </c>
      <c r="B17" s="1">
        <v>46248</v>
      </c>
      <c r="C17" s="1" t="str">
        <f>TEXT(B17,"mmmm")</f>
        <v>August</v>
      </c>
      <c r="D17" t="s">
        <v>19</v>
      </c>
      <c r="E17" t="s">
        <v>23</v>
      </c>
      <c r="F17" t="s">
        <v>26</v>
      </c>
      <c r="G17">
        <v>6</v>
      </c>
      <c r="H17">
        <v>22000</v>
      </c>
      <c r="I17" s="3">
        <v>165000</v>
      </c>
      <c r="J17" s="2">
        <f t="shared" si="0"/>
        <v>150000</v>
      </c>
      <c r="K17" s="2">
        <f t="shared" si="1"/>
        <v>110.00000000000001</v>
      </c>
    </row>
    <row r="18" spans="1:11">
      <c r="A18">
        <v>1015</v>
      </c>
      <c r="B18" s="1">
        <v>46249</v>
      </c>
      <c r="C18" s="1" t="str">
        <f>TEXT(B18,"mmmm")</f>
        <v>August</v>
      </c>
      <c r="D18" t="s">
        <v>22</v>
      </c>
      <c r="E18" t="s">
        <v>20</v>
      </c>
      <c r="F18" t="s">
        <v>17</v>
      </c>
      <c r="G18">
        <v>7</v>
      </c>
      <c r="H18">
        <v>18000</v>
      </c>
      <c r="I18" s="3">
        <v>165000</v>
      </c>
      <c r="J18" s="2">
        <f t="shared" si="0"/>
        <v>100000</v>
      </c>
      <c r="K18" s="2">
        <f t="shared" si="1"/>
        <v>165</v>
      </c>
    </row>
    <row r="19" spans="1:11">
      <c r="A19">
        <v>1016</v>
      </c>
      <c r="B19" s="1">
        <v>46250</v>
      </c>
      <c r="C19" s="1" t="str">
        <f>TEXT(B19,"mmmm")</f>
        <v>August</v>
      </c>
      <c r="D19" t="s">
        <v>18</v>
      </c>
      <c r="E19" t="s">
        <v>16</v>
      </c>
      <c r="F19" t="s">
        <v>24</v>
      </c>
      <c r="G19">
        <v>9</v>
      </c>
      <c r="H19">
        <v>2500</v>
      </c>
      <c r="I19" s="3">
        <v>165000</v>
      </c>
      <c r="J19" s="2">
        <f t="shared" si="0"/>
        <v>30000</v>
      </c>
      <c r="K19" s="2">
        <f t="shared" si="1"/>
        <v>550</v>
      </c>
    </row>
    <row r="20" spans="1:11">
      <c r="A20">
        <v>1017</v>
      </c>
      <c r="B20" s="1">
        <v>46251</v>
      </c>
      <c r="C20" s="1" t="str">
        <f>TEXT(B20,"mmmm")</f>
        <v>August</v>
      </c>
      <c r="D20" t="s">
        <v>15</v>
      </c>
      <c r="E20" t="s">
        <v>16</v>
      </c>
      <c r="F20" t="s">
        <v>26</v>
      </c>
      <c r="G20">
        <v>5</v>
      </c>
      <c r="H20">
        <v>55000</v>
      </c>
      <c r="I20" s="3">
        <v>165000</v>
      </c>
      <c r="J20" s="2">
        <f t="shared" si="0"/>
        <v>200000</v>
      </c>
      <c r="K20" s="2">
        <f t="shared" si="1"/>
        <v>82.5</v>
      </c>
    </row>
    <row r="21" spans="1:11">
      <c r="A21">
        <v>1018</v>
      </c>
      <c r="B21" s="1">
        <v>46252</v>
      </c>
      <c r="C21" s="1" t="str">
        <f>TEXT(B21,"mmmm")</f>
        <v>August</v>
      </c>
      <c r="D21" t="s">
        <v>19</v>
      </c>
      <c r="E21" t="s">
        <v>20</v>
      </c>
      <c r="F21" t="s">
        <v>24</v>
      </c>
      <c r="G21">
        <v>4</v>
      </c>
      <c r="H21">
        <v>22000</v>
      </c>
      <c r="I21" s="3">
        <v>165000</v>
      </c>
      <c r="J21" s="2">
        <f t="shared" si="0"/>
        <v>150000</v>
      </c>
      <c r="K21" s="2">
        <f t="shared" si="1"/>
        <v>110.00000000000001</v>
      </c>
    </row>
    <row r="22" spans="1:11">
      <c r="A22">
        <v>1019</v>
      </c>
      <c r="B22" s="1">
        <v>46253</v>
      </c>
      <c r="C22" s="1" t="str">
        <f>TEXT(B22,"mmmm")</f>
        <v>August</v>
      </c>
      <c r="D22" t="s">
        <v>22</v>
      </c>
      <c r="E22" t="s">
        <v>23</v>
      </c>
      <c r="F22" t="s">
        <v>17</v>
      </c>
      <c r="G22">
        <v>8</v>
      </c>
      <c r="H22">
        <v>18000</v>
      </c>
      <c r="I22" s="3">
        <v>165000</v>
      </c>
      <c r="J22" s="2">
        <f t="shared" si="0"/>
        <v>100000</v>
      </c>
      <c r="K22" s="2">
        <f t="shared" si="1"/>
        <v>165</v>
      </c>
    </row>
    <row r="23" spans="1:11">
      <c r="A23">
        <v>1020</v>
      </c>
      <c r="B23" s="1">
        <v>46254</v>
      </c>
      <c r="C23" s="1" t="str">
        <f>TEXT(B23,"mmmm")</f>
        <v>August</v>
      </c>
      <c r="D23" t="s">
        <v>18</v>
      </c>
      <c r="E23" t="s">
        <v>25</v>
      </c>
      <c r="F23" t="s">
        <v>21</v>
      </c>
      <c r="G23">
        <v>15</v>
      </c>
      <c r="H23">
        <v>2500</v>
      </c>
      <c r="I23" s="3">
        <v>165000</v>
      </c>
      <c r="J23" s="2">
        <f t="shared" si="0"/>
        <v>30000</v>
      </c>
      <c r="K23" s="2">
        <f t="shared" si="1"/>
        <v>550</v>
      </c>
    </row>
    <row r="24" spans="1:11">
      <c r="A24">
        <v>1021</v>
      </c>
      <c r="B24" s="1">
        <v>46255</v>
      </c>
      <c r="C24" s="1" t="str">
        <f>TEXT(B24,"mmmm")</f>
        <v>August</v>
      </c>
      <c r="D24" t="s">
        <v>15</v>
      </c>
      <c r="E24" t="s">
        <v>20</v>
      </c>
      <c r="F24" t="s">
        <v>24</v>
      </c>
      <c r="G24">
        <v>3</v>
      </c>
      <c r="H24">
        <v>55000</v>
      </c>
      <c r="I24" s="3">
        <v>165000</v>
      </c>
      <c r="J24" s="2">
        <f t="shared" si="0"/>
        <v>200000</v>
      </c>
      <c r="K24" s="2">
        <f t="shared" si="1"/>
        <v>82.5</v>
      </c>
    </row>
    <row r="25" spans="1:11">
      <c r="A25">
        <v>1022</v>
      </c>
      <c r="B25" s="1">
        <v>46256</v>
      </c>
      <c r="C25" s="1" t="str">
        <f>TEXT(B25,"mmmm")</f>
        <v>August</v>
      </c>
      <c r="D25" t="s">
        <v>19</v>
      </c>
      <c r="E25" t="s">
        <v>16</v>
      </c>
      <c r="F25" t="s">
        <v>21</v>
      </c>
      <c r="G25">
        <v>8</v>
      </c>
      <c r="H25">
        <v>22000</v>
      </c>
      <c r="I25" s="3">
        <v>165000</v>
      </c>
      <c r="J25" s="2">
        <f t="shared" si="0"/>
        <v>150000</v>
      </c>
      <c r="K25" s="2">
        <f t="shared" si="1"/>
        <v>110.00000000000001</v>
      </c>
    </row>
    <row r="26" spans="1:11">
      <c r="A26">
        <v>1023</v>
      </c>
      <c r="B26" s="1">
        <v>46257</v>
      </c>
      <c r="C26" s="1" t="str">
        <f>TEXT(B26,"mmmm")</f>
        <v>August</v>
      </c>
      <c r="D26" t="s">
        <v>22</v>
      </c>
      <c r="E26" t="s">
        <v>25</v>
      </c>
      <c r="F26" t="s">
        <v>26</v>
      </c>
      <c r="G26">
        <v>4</v>
      </c>
      <c r="H26">
        <v>18000</v>
      </c>
      <c r="I26" s="3">
        <v>165000</v>
      </c>
      <c r="J26" s="2">
        <f t="shared" si="0"/>
        <v>100000</v>
      </c>
      <c r="K26" s="2">
        <f t="shared" si="1"/>
        <v>165</v>
      </c>
    </row>
    <row r="27" spans="1:11">
      <c r="A27">
        <v>1024</v>
      </c>
      <c r="B27" s="1">
        <v>46258</v>
      </c>
      <c r="C27" s="1" t="str">
        <f>TEXT(B27,"mmmm")</f>
        <v>August</v>
      </c>
      <c r="D27" t="s">
        <v>18</v>
      </c>
      <c r="E27" t="s">
        <v>23</v>
      </c>
      <c r="F27" t="s">
        <v>17</v>
      </c>
      <c r="G27">
        <v>11</v>
      </c>
      <c r="H27">
        <v>2500</v>
      </c>
      <c r="I27" s="3">
        <v>165000</v>
      </c>
      <c r="J27" s="2">
        <f t="shared" si="0"/>
        <v>30000</v>
      </c>
      <c r="K27" s="2">
        <f t="shared" si="1"/>
        <v>550</v>
      </c>
    </row>
    <row r="28" spans="1:11">
      <c r="A28">
        <v>1025</v>
      </c>
      <c r="B28" s="1">
        <v>46259</v>
      </c>
      <c r="C28" s="1" t="str">
        <f>TEXT(B28,"mmmm")</f>
        <v>August</v>
      </c>
      <c r="D28" t="s">
        <v>15</v>
      </c>
      <c r="E28" t="s">
        <v>23</v>
      </c>
      <c r="F28" t="s">
        <v>21</v>
      </c>
      <c r="G28">
        <v>2</v>
      </c>
      <c r="H28">
        <v>55000</v>
      </c>
      <c r="I28" s="3">
        <v>165000</v>
      </c>
      <c r="J28" s="2">
        <f t="shared" si="0"/>
        <v>200000</v>
      </c>
      <c r="K28" s="2">
        <f t="shared" si="1"/>
        <v>82.5</v>
      </c>
    </row>
    <row r="29" spans="1:11">
      <c r="A29">
        <v>1026</v>
      </c>
      <c r="B29" s="1">
        <v>46260</v>
      </c>
      <c r="C29" s="1" t="str">
        <f>TEXT(B29,"mmmm")</f>
        <v>August</v>
      </c>
      <c r="D29" t="s">
        <v>19</v>
      </c>
      <c r="E29" t="s">
        <v>25</v>
      </c>
      <c r="F29" t="s">
        <v>24</v>
      </c>
      <c r="G29">
        <v>5</v>
      </c>
      <c r="H29">
        <v>22000</v>
      </c>
      <c r="I29" s="3">
        <v>165000</v>
      </c>
      <c r="J29" s="2">
        <f t="shared" si="0"/>
        <v>150000</v>
      </c>
      <c r="K29" s="2">
        <f t="shared" si="1"/>
        <v>110.00000000000001</v>
      </c>
    </row>
    <row r="30" spans="1:11">
      <c r="A30">
        <v>1027</v>
      </c>
      <c r="B30" s="1">
        <v>46261</v>
      </c>
      <c r="C30" s="1" t="str">
        <f>TEXT(B30,"mmmm")</f>
        <v>August</v>
      </c>
      <c r="D30" t="s">
        <v>22</v>
      </c>
      <c r="E30" t="s">
        <v>16</v>
      </c>
      <c r="F30" t="s">
        <v>17</v>
      </c>
      <c r="G30">
        <v>6</v>
      </c>
      <c r="H30">
        <v>18000</v>
      </c>
      <c r="I30" s="3">
        <v>165000</v>
      </c>
      <c r="J30" s="2">
        <f t="shared" si="0"/>
        <v>100000</v>
      </c>
      <c r="K30" s="2">
        <f t="shared" si="1"/>
        <v>165</v>
      </c>
    </row>
    <row r="31" spans="1:11">
      <c r="A31">
        <v>1028</v>
      </c>
      <c r="B31" s="1">
        <v>46262</v>
      </c>
      <c r="C31" s="1" t="str">
        <f>TEXT(B31,"mmmm")</f>
        <v>August</v>
      </c>
      <c r="D31" t="s">
        <v>18</v>
      </c>
      <c r="E31" t="s">
        <v>20</v>
      </c>
      <c r="F31" t="s">
        <v>26</v>
      </c>
      <c r="G31">
        <v>14</v>
      </c>
      <c r="H31">
        <v>2500</v>
      </c>
      <c r="I31" s="3">
        <v>165000</v>
      </c>
      <c r="J31" s="2">
        <f t="shared" si="0"/>
        <v>30000</v>
      </c>
      <c r="K31" s="2">
        <f t="shared" si="1"/>
        <v>550</v>
      </c>
    </row>
    <row r="32" spans="1:11">
      <c r="A32">
        <v>1029</v>
      </c>
      <c r="B32" s="1">
        <v>46263</v>
      </c>
      <c r="C32" s="1" t="str">
        <f>TEXT(B32,"mmmm")</f>
        <v>August</v>
      </c>
      <c r="D32" t="s">
        <v>15</v>
      </c>
      <c r="E32" t="s">
        <v>25</v>
      </c>
      <c r="F32" t="s">
        <v>26</v>
      </c>
      <c r="G32">
        <v>4</v>
      </c>
      <c r="H32">
        <v>55000</v>
      </c>
      <c r="I32" s="3">
        <v>165000</v>
      </c>
      <c r="J32" s="2">
        <f t="shared" si="0"/>
        <v>200000</v>
      </c>
      <c r="K32" s="2">
        <f t="shared" si="1"/>
        <v>82.5</v>
      </c>
    </row>
    <row r="33" spans="1:11">
      <c r="A33">
        <v>1030</v>
      </c>
      <c r="B33" s="1">
        <v>46264</v>
      </c>
      <c r="C33" s="1" t="str">
        <f>TEXT(B33,"mmmm")</f>
        <v>August</v>
      </c>
      <c r="D33" t="s">
        <v>19</v>
      </c>
      <c r="E33" t="s">
        <v>23</v>
      </c>
      <c r="F33" t="s">
        <v>17</v>
      </c>
      <c r="G33">
        <v>7</v>
      </c>
      <c r="H33">
        <v>22000</v>
      </c>
      <c r="I33" s="3">
        <v>165000</v>
      </c>
      <c r="J33" s="2">
        <f t="shared" si="0"/>
        <v>150000</v>
      </c>
      <c r="K33" s="2">
        <f t="shared" si="1"/>
        <v>110.00000000000001</v>
      </c>
    </row>
    <row r="34" spans="1:11">
      <c r="A34">
        <v>1031</v>
      </c>
      <c r="B34" s="1">
        <v>46265</v>
      </c>
      <c r="C34" s="1" t="str">
        <f>TEXT(B34,"mmmm")</f>
        <v>August</v>
      </c>
      <c r="D34" t="s">
        <v>22</v>
      </c>
      <c r="E34" t="s">
        <v>20</v>
      </c>
      <c r="F34" t="s">
        <v>21</v>
      </c>
      <c r="G34">
        <v>5</v>
      </c>
      <c r="H34">
        <v>18000</v>
      </c>
      <c r="I34" s="3">
        <v>165000</v>
      </c>
      <c r="J34" s="2">
        <f t="shared" si="0"/>
        <v>100000</v>
      </c>
      <c r="K34" s="2">
        <f t="shared" si="1"/>
        <v>165</v>
      </c>
    </row>
    <row r="35" spans="1:11">
      <c r="A35">
        <v>1032</v>
      </c>
      <c r="B35" s="1">
        <v>46266</v>
      </c>
      <c r="C35" s="1" t="str">
        <f>TEXT(B35,"mmmm")</f>
        <v>September</v>
      </c>
      <c r="D35" t="s">
        <v>18</v>
      </c>
      <c r="E35" t="s">
        <v>16</v>
      </c>
      <c r="F35" t="s">
        <v>24</v>
      </c>
      <c r="G35">
        <v>13</v>
      </c>
      <c r="H35">
        <v>2500</v>
      </c>
      <c r="I35" s="3">
        <v>165000</v>
      </c>
      <c r="J35" s="2">
        <f t="shared" si="0"/>
        <v>30000</v>
      </c>
      <c r="K35" s="2">
        <f t="shared" si="1"/>
        <v>550</v>
      </c>
    </row>
    <row r="36" spans="1:11">
      <c r="A36">
        <v>1033</v>
      </c>
      <c r="B36" s="1">
        <v>46267</v>
      </c>
      <c r="C36" s="1" t="str">
        <f>TEXT(B36,"mmmm")</f>
        <v>September</v>
      </c>
      <c r="D36" t="s">
        <v>15</v>
      </c>
      <c r="E36" t="s">
        <v>16</v>
      </c>
      <c r="F36" t="s">
        <v>21</v>
      </c>
      <c r="G36">
        <v>3</v>
      </c>
      <c r="H36">
        <v>55000</v>
      </c>
      <c r="I36" s="3">
        <v>165000</v>
      </c>
      <c r="J36" s="2">
        <f t="shared" si="0"/>
        <v>200000</v>
      </c>
      <c r="K36" s="2">
        <f t="shared" si="1"/>
        <v>82.5</v>
      </c>
    </row>
    <row r="37" spans="1:11">
      <c r="A37">
        <v>1034</v>
      </c>
      <c r="B37" s="1">
        <v>46268</v>
      </c>
      <c r="C37" s="1" t="str">
        <f>TEXT(B37,"mmmm")</f>
        <v>September</v>
      </c>
      <c r="D37" t="s">
        <v>19</v>
      </c>
      <c r="E37" t="s">
        <v>20</v>
      </c>
      <c r="F37" t="s">
        <v>26</v>
      </c>
      <c r="G37">
        <v>6</v>
      </c>
      <c r="H37">
        <v>22000</v>
      </c>
      <c r="I37" s="3">
        <v>165000</v>
      </c>
      <c r="J37" s="2">
        <f t="shared" si="0"/>
        <v>150000</v>
      </c>
      <c r="K37" s="2">
        <f t="shared" si="1"/>
        <v>110.00000000000001</v>
      </c>
    </row>
    <row r="38" spans="1:11">
      <c r="A38">
        <v>1035</v>
      </c>
      <c r="B38" s="1">
        <v>46269</v>
      </c>
      <c r="C38" s="1" t="str">
        <f>TEXT(B38,"mmmm")</f>
        <v>September</v>
      </c>
      <c r="D38" t="s">
        <v>22</v>
      </c>
      <c r="E38" t="s">
        <v>23</v>
      </c>
      <c r="F38" t="s">
        <v>24</v>
      </c>
      <c r="G38">
        <v>9</v>
      </c>
      <c r="H38">
        <v>18000</v>
      </c>
      <c r="I38" s="3">
        <v>165000</v>
      </c>
      <c r="J38" s="2">
        <f t="shared" si="0"/>
        <v>100000</v>
      </c>
      <c r="K38" s="2">
        <f t="shared" si="1"/>
        <v>165</v>
      </c>
    </row>
    <row r="39" spans="1:11">
      <c r="A39">
        <v>1036</v>
      </c>
      <c r="B39" s="1">
        <v>46270</v>
      </c>
      <c r="C39" s="1" t="str">
        <f>TEXT(B39,"mmmm")</f>
        <v>September</v>
      </c>
      <c r="D39" t="s">
        <v>18</v>
      </c>
      <c r="E39" t="s">
        <v>25</v>
      </c>
      <c r="F39" t="s">
        <v>17</v>
      </c>
      <c r="G39">
        <v>16</v>
      </c>
      <c r="H39">
        <v>2500</v>
      </c>
      <c r="I39" s="3">
        <v>165000</v>
      </c>
      <c r="J39" s="2">
        <f t="shared" si="0"/>
        <v>30000</v>
      </c>
      <c r="K39" s="2">
        <f t="shared" si="1"/>
        <v>550</v>
      </c>
    </row>
    <row r="40" spans="1:11">
      <c r="A40">
        <v>1037</v>
      </c>
      <c r="B40" s="1">
        <v>46271</v>
      </c>
      <c r="C40" s="1" t="str">
        <f>TEXT(B40,"mmmm")</f>
        <v>September</v>
      </c>
      <c r="D40" t="s">
        <v>15</v>
      </c>
      <c r="E40" t="s">
        <v>20</v>
      </c>
      <c r="F40" t="s">
        <v>26</v>
      </c>
      <c r="G40">
        <v>2</v>
      </c>
      <c r="H40">
        <v>55000</v>
      </c>
      <c r="I40" s="3">
        <v>165000</v>
      </c>
      <c r="J40" s="2">
        <f t="shared" si="0"/>
        <v>200000</v>
      </c>
      <c r="K40" s="2">
        <f t="shared" si="1"/>
        <v>82.5</v>
      </c>
    </row>
    <row r="41" spans="1:11">
      <c r="A41">
        <v>1038</v>
      </c>
      <c r="B41" s="1">
        <v>46272</v>
      </c>
      <c r="C41" s="1" t="str">
        <f>TEXT(B41,"mmmm")</f>
        <v>September</v>
      </c>
      <c r="D41" t="s">
        <v>19</v>
      </c>
      <c r="E41" t="s">
        <v>16</v>
      </c>
      <c r="F41" t="s">
        <v>17</v>
      </c>
      <c r="G41">
        <v>9</v>
      </c>
      <c r="H41">
        <v>22000</v>
      </c>
      <c r="I41" s="3">
        <v>165000</v>
      </c>
      <c r="J41" s="2">
        <f t="shared" si="0"/>
        <v>150000</v>
      </c>
      <c r="K41" s="2">
        <f t="shared" si="1"/>
        <v>110.00000000000001</v>
      </c>
    </row>
    <row r="42" spans="1:11">
      <c r="A42">
        <v>1039</v>
      </c>
      <c r="B42" s="1">
        <v>46273</v>
      </c>
      <c r="C42" s="1" t="str">
        <f>TEXT(B42,"mmmm")</f>
        <v>September</v>
      </c>
      <c r="D42" t="s">
        <v>22</v>
      </c>
      <c r="E42" t="s">
        <v>25</v>
      </c>
      <c r="F42" t="s">
        <v>24</v>
      </c>
      <c r="G42">
        <v>6</v>
      </c>
      <c r="H42">
        <v>18000</v>
      </c>
      <c r="I42" s="3">
        <v>165000</v>
      </c>
      <c r="J42" s="2">
        <f t="shared" si="0"/>
        <v>100000</v>
      </c>
      <c r="K42" s="2">
        <f t="shared" si="1"/>
        <v>165</v>
      </c>
    </row>
    <row r="43" spans="1:11">
      <c r="A43">
        <v>1040</v>
      </c>
      <c r="B43" s="1">
        <v>46274</v>
      </c>
      <c r="C43" s="1" t="str">
        <f>TEXT(B43,"mmmm")</f>
        <v>September</v>
      </c>
      <c r="D43" t="s">
        <v>18</v>
      </c>
      <c r="E43" t="s">
        <v>23</v>
      </c>
      <c r="F43" t="s">
        <v>21</v>
      </c>
      <c r="G43">
        <v>12</v>
      </c>
      <c r="H43">
        <v>2500</v>
      </c>
      <c r="I43" s="3">
        <v>165000</v>
      </c>
      <c r="J43" s="2">
        <f t="shared" si="0"/>
        <v>30000</v>
      </c>
      <c r="K43" s="2">
        <f t="shared" si="1"/>
        <v>550</v>
      </c>
    </row>
    <row r="44" spans="1:11">
      <c r="A44">
        <v>1041</v>
      </c>
      <c r="B44" s="1">
        <v>46275</v>
      </c>
      <c r="C44" s="1" t="str">
        <f>TEXT(B44,"mmmm")</f>
        <v>September</v>
      </c>
      <c r="D44" t="s">
        <v>15</v>
      </c>
      <c r="E44" t="s">
        <v>23</v>
      </c>
      <c r="F44" t="s">
        <v>17</v>
      </c>
      <c r="G44">
        <v>5</v>
      </c>
      <c r="H44">
        <v>55000</v>
      </c>
      <c r="I44" s="3">
        <v>165000</v>
      </c>
      <c r="J44" s="2">
        <f t="shared" si="0"/>
        <v>200000</v>
      </c>
      <c r="K44" s="2">
        <f t="shared" si="1"/>
        <v>82.5</v>
      </c>
    </row>
    <row r="45" spans="1:11">
      <c r="A45">
        <v>1042</v>
      </c>
      <c r="B45" s="1">
        <v>46276</v>
      </c>
      <c r="C45" s="1" t="str">
        <f>TEXT(B45,"mmmm")</f>
        <v>September</v>
      </c>
      <c r="D45" t="s">
        <v>19</v>
      </c>
      <c r="E45" t="s">
        <v>25</v>
      </c>
      <c r="F45" t="s">
        <v>21</v>
      </c>
      <c r="G45">
        <v>4</v>
      </c>
      <c r="H45">
        <v>22000</v>
      </c>
      <c r="I45" s="3">
        <v>165000</v>
      </c>
      <c r="J45" s="2">
        <f t="shared" si="0"/>
        <v>150000</v>
      </c>
      <c r="K45" s="2">
        <f t="shared" si="1"/>
        <v>110.00000000000001</v>
      </c>
    </row>
    <row r="46" spans="1:11">
      <c r="A46">
        <v>1043</v>
      </c>
      <c r="B46" s="1">
        <v>46277</v>
      </c>
      <c r="C46" s="1" t="str">
        <f>TEXT(B46,"mmmm")</f>
        <v>September</v>
      </c>
      <c r="D46" t="s">
        <v>22</v>
      </c>
      <c r="E46" t="s">
        <v>16</v>
      </c>
      <c r="F46" t="s">
        <v>26</v>
      </c>
      <c r="G46">
        <v>7</v>
      </c>
      <c r="H46">
        <v>18000</v>
      </c>
      <c r="I46" s="3">
        <v>165000</v>
      </c>
      <c r="J46" s="2">
        <f t="shared" si="0"/>
        <v>100000</v>
      </c>
      <c r="K46" s="2">
        <f t="shared" si="1"/>
        <v>165</v>
      </c>
    </row>
    <row r="47" spans="1:11">
      <c r="A47">
        <v>1044</v>
      </c>
      <c r="B47" s="1">
        <v>46278</v>
      </c>
      <c r="C47" s="1" t="str">
        <f>TEXT(B47,"mmmm")</f>
        <v>September</v>
      </c>
      <c r="D47" t="s">
        <v>18</v>
      </c>
      <c r="E47" t="s">
        <v>20</v>
      </c>
      <c r="F47" t="s">
        <v>24</v>
      </c>
      <c r="G47">
        <v>18</v>
      </c>
      <c r="H47">
        <v>2500</v>
      </c>
      <c r="I47" s="3">
        <v>165000</v>
      </c>
      <c r="J47" s="2">
        <f t="shared" si="0"/>
        <v>30000</v>
      </c>
      <c r="K47" s="2">
        <f t="shared" si="1"/>
        <v>550</v>
      </c>
    </row>
    <row r="48" spans="1:11">
      <c r="A48">
        <v>1045</v>
      </c>
      <c r="B48" s="1">
        <v>46279</v>
      </c>
      <c r="C48" s="1" t="str">
        <f>TEXT(B48,"mmmm")</f>
        <v>September</v>
      </c>
      <c r="D48" t="s">
        <v>15</v>
      </c>
      <c r="E48" t="s">
        <v>25</v>
      </c>
      <c r="F48" t="s">
        <v>24</v>
      </c>
      <c r="G48">
        <v>3</v>
      </c>
      <c r="H48">
        <v>55000</v>
      </c>
      <c r="I48" s="3">
        <v>165000</v>
      </c>
      <c r="J48" s="2">
        <f t="shared" si="0"/>
        <v>200000</v>
      </c>
      <c r="K48" s="2">
        <f t="shared" si="1"/>
        <v>82.5</v>
      </c>
    </row>
    <row r="49" spans="1:11">
      <c r="A49">
        <v>1046</v>
      </c>
      <c r="B49" s="1">
        <v>46280</v>
      </c>
      <c r="C49" s="1" t="str">
        <f>TEXT(B49,"mmmm")</f>
        <v>September</v>
      </c>
      <c r="D49" t="s">
        <v>19</v>
      </c>
      <c r="E49" t="s">
        <v>23</v>
      </c>
      <c r="F49" t="s">
        <v>26</v>
      </c>
      <c r="G49">
        <v>8</v>
      </c>
      <c r="H49">
        <v>22000</v>
      </c>
      <c r="I49" s="3">
        <v>165000</v>
      </c>
      <c r="J49" s="2">
        <f t="shared" si="0"/>
        <v>150000</v>
      </c>
      <c r="K49" s="2">
        <f t="shared" si="1"/>
        <v>110.00000000000001</v>
      </c>
    </row>
    <row r="50" spans="1:11">
      <c r="A50">
        <v>1047</v>
      </c>
      <c r="B50" s="1">
        <v>46281</v>
      </c>
      <c r="C50" s="1" t="str">
        <f>TEXT(B50,"mmmm")</f>
        <v>September</v>
      </c>
      <c r="D50" t="s">
        <v>22</v>
      </c>
      <c r="E50" t="s">
        <v>20</v>
      </c>
      <c r="F50" t="s">
        <v>17</v>
      </c>
      <c r="G50">
        <v>6</v>
      </c>
      <c r="H50">
        <v>18000</v>
      </c>
      <c r="I50" s="3">
        <v>165000</v>
      </c>
      <c r="J50" s="2">
        <f t="shared" si="0"/>
        <v>100000</v>
      </c>
      <c r="K50" s="2">
        <f t="shared" si="1"/>
        <v>165</v>
      </c>
    </row>
    <row r="51" spans="1:11">
      <c r="A51">
        <v>1048</v>
      </c>
      <c r="B51" s="1">
        <v>46282</v>
      </c>
      <c r="C51" s="1" t="str">
        <f>TEXT(B51,"mmmm")</f>
        <v>September</v>
      </c>
      <c r="D51" t="s">
        <v>18</v>
      </c>
      <c r="E51" t="s">
        <v>16</v>
      </c>
      <c r="F51" t="s">
        <v>21</v>
      </c>
      <c r="G51">
        <v>10</v>
      </c>
      <c r="H51">
        <v>2500</v>
      </c>
      <c r="I51" s="3">
        <v>165000</v>
      </c>
      <c r="J51" s="2">
        <f t="shared" si="0"/>
        <v>30000</v>
      </c>
      <c r="K51" s="2">
        <f t="shared" si="1"/>
        <v>550</v>
      </c>
    </row>
    <row r="52" spans="1:11">
      <c r="A52">
        <v>1049</v>
      </c>
      <c r="B52" s="1">
        <v>46283</v>
      </c>
      <c r="C52" s="1" t="str">
        <f>TEXT(B52,"mmmm")</f>
        <v>September</v>
      </c>
      <c r="D52" t="s">
        <v>15</v>
      </c>
      <c r="E52" t="s">
        <v>16</v>
      </c>
      <c r="F52" t="s">
        <v>24</v>
      </c>
      <c r="G52">
        <v>4</v>
      </c>
      <c r="H52">
        <v>55000</v>
      </c>
      <c r="I52" s="3">
        <v>165000</v>
      </c>
      <c r="J52" s="2">
        <f t="shared" si="0"/>
        <v>200000</v>
      </c>
      <c r="K52" s="2">
        <f t="shared" si="1"/>
        <v>82.5</v>
      </c>
    </row>
    <row r="53" spans="1:11">
      <c r="A53">
        <v>1050</v>
      </c>
      <c r="B53" s="1">
        <v>46284</v>
      </c>
      <c r="C53" s="1" t="str">
        <f>TEXT(B53,"mmmm")</f>
        <v>September</v>
      </c>
      <c r="D53" t="s">
        <v>19</v>
      </c>
      <c r="E53" t="s">
        <v>20</v>
      </c>
      <c r="F53" t="s">
        <v>17</v>
      </c>
      <c r="G53">
        <v>7</v>
      </c>
      <c r="H53">
        <v>22000</v>
      </c>
      <c r="I53" s="3">
        <v>165000</v>
      </c>
      <c r="J53" s="2">
        <f t="shared" si="0"/>
        <v>150000</v>
      </c>
      <c r="K53" s="2">
        <f t="shared" si="1"/>
        <v>110.00000000000001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AFD2-7DCD-4E67-8D45-667FAA5CE67A}">
  <dimension ref="A1:R53"/>
  <sheetViews>
    <sheetView topLeftCell="A36" workbookViewId="0">
      <selection activeCell="A3" sqref="A3:K53"/>
    </sheetView>
  </sheetViews>
  <sheetFormatPr defaultRowHeight="15"/>
  <cols>
    <col min="2" max="2" width="11.42578125" bestFit="1" customWidth="1"/>
    <col min="13" max="13" width="20.42578125" bestFit="1" customWidth="1"/>
    <col min="14" max="14" width="10.42578125" bestFit="1" customWidth="1"/>
    <col min="15" max="17" width="9.7109375" bestFit="1" customWidth="1"/>
    <col min="18" max="18" width="11.7109375" bestFit="1" customWidth="1"/>
  </cols>
  <sheetData>
    <row r="1" spans="1:18" ht="18.75">
      <c r="A1" s="9" t="s">
        <v>29</v>
      </c>
      <c r="B1" s="10"/>
      <c r="C1" s="10"/>
      <c r="D1" s="10"/>
      <c r="E1" s="10"/>
      <c r="F1" s="10"/>
      <c r="G1" s="11"/>
    </row>
    <row r="3" spans="1:1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M3" s="4" t="s">
        <v>13</v>
      </c>
      <c r="N3" s="4" t="s">
        <v>5</v>
      </c>
    </row>
    <row r="4" spans="1:18">
      <c r="A4">
        <v>1001</v>
      </c>
      <c r="B4" s="1">
        <v>46235</v>
      </c>
      <c r="C4" s="1" t="str">
        <f>TEXT(B4,"mmmm")</f>
        <v>August</v>
      </c>
      <c r="D4" t="s">
        <v>15</v>
      </c>
      <c r="E4" t="s">
        <v>16</v>
      </c>
      <c r="F4" t="s">
        <v>17</v>
      </c>
      <c r="G4">
        <v>3</v>
      </c>
      <c r="H4">
        <v>55000</v>
      </c>
      <c r="I4" s="3">
        <v>165000</v>
      </c>
      <c r="J4" s="2">
        <f>IF(D4 = "Laptop",200000,IF( D4 = "Mobile",150000,IF(D4 = "Tablet",100000,IF(D4 = "Headphones",30000,""))))</f>
        <v>200000</v>
      </c>
      <c r="K4" s="2">
        <f>I4/J4*100</f>
        <v>82.5</v>
      </c>
      <c r="M4" s="4" t="s">
        <v>4</v>
      </c>
      <c r="N4" t="s">
        <v>23</v>
      </c>
      <c r="O4" t="s">
        <v>16</v>
      </c>
      <c r="P4" t="s">
        <v>20</v>
      </c>
      <c r="Q4" t="s">
        <v>25</v>
      </c>
      <c r="R4" t="s">
        <v>27</v>
      </c>
    </row>
    <row r="5" spans="1:18">
      <c r="A5">
        <v>1002</v>
      </c>
      <c r="B5" s="1">
        <v>46236</v>
      </c>
      <c r="C5" s="1" t="str">
        <f>TEXT(B5,"mmmm")</f>
        <v>August</v>
      </c>
      <c r="D5" t="s">
        <v>19</v>
      </c>
      <c r="E5" t="s">
        <v>20</v>
      </c>
      <c r="F5" t="s">
        <v>21</v>
      </c>
      <c r="G5">
        <v>5</v>
      </c>
      <c r="H5">
        <v>22000</v>
      </c>
      <c r="I5" s="3">
        <v>165000</v>
      </c>
      <c r="J5" s="2">
        <f t="shared" ref="J5:J53" si="0">IF(D5 = "Laptop",200000,IF( D5 = "Mobile",150000,IF(D5 = "Tablet",100000,IF(D5 = "Headphones",30000,""))))</f>
        <v>150000</v>
      </c>
      <c r="K5" s="2">
        <f t="shared" ref="K5:K53" si="1">I5/J5*100</f>
        <v>110.00000000000001</v>
      </c>
      <c r="M5" t="s">
        <v>15</v>
      </c>
      <c r="N5" s="3">
        <v>495000</v>
      </c>
      <c r="O5" s="3">
        <v>660000</v>
      </c>
      <c r="P5" s="3">
        <v>495000</v>
      </c>
      <c r="Q5" s="3">
        <v>495000</v>
      </c>
      <c r="R5" s="3">
        <v>2145000</v>
      </c>
    </row>
    <row r="6" spans="1:18">
      <c r="A6">
        <v>1003</v>
      </c>
      <c r="B6" s="1">
        <v>46237</v>
      </c>
      <c r="C6" s="1" t="str">
        <f>TEXT(B6,"mmmm")</f>
        <v>August</v>
      </c>
      <c r="D6" t="s">
        <v>22</v>
      </c>
      <c r="E6" t="s">
        <v>23</v>
      </c>
      <c r="F6" t="s">
        <v>24</v>
      </c>
      <c r="G6">
        <v>4</v>
      </c>
      <c r="H6">
        <v>18000</v>
      </c>
      <c r="I6" s="3">
        <v>165000</v>
      </c>
      <c r="J6" s="2">
        <f t="shared" si="0"/>
        <v>100000</v>
      </c>
      <c r="K6" s="2">
        <f t="shared" si="1"/>
        <v>165</v>
      </c>
      <c r="M6" t="s">
        <v>19</v>
      </c>
      <c r="N6" s="3">
        <v>495000</v>
      </c>
      <c r="O6" s="3">
        <v>495000</v>
      </c>
      <c r="P6" s="3">
        <v>660000</v>
      </c>
      <c r="Q6" s="3">
        <v>495000</v>
      </c>
      <c r="R6" s="3">
        <v>2145000</v>
      </c>
    </row>
    <row r="7" spans="1:18">
      <c r="A7">
        <v>1004</v>
      </c>
      <c r="B7" s="1">
        <v>46238</v>
      </c>
      <c r="C7" s="1" t="str">
        <f>TEXT(B7,"mmmm")</f>
        <v>August</v>
      </c>
      <c r="D7" t="s">
        <v>18</v>
      </c>
      <c r="E7" t="s">
        <v>25</v>
      </c>
      <c r="F7" t="s">
        <v>26</v>
      </c>
      <c r="G7">
        <v>8</v>
      </c>
      <c r="H7">
        <v>2500</v>
      </c>
      <c r="I7" s="3">
        <v>165000</v>
      </c>
      <c r="J7" s="2">
        <f t="shared" si="0"/>
        <v>30000</v>
      </c>
      <c r="K7" s="2">
        <f t="shared" si="1"/>
        <v>550</v>
      </c>
      <c r="M7" t="s">
        <v>27</v>
      </c>
      <c r="N7" s="3">
        <v>990000</v>
      </c>
      <c r="O7" s="3">
        <v>1155000</v>
      </c>
      <c r="P7" s="3">
        <v>1155000</v>
      </c>
      <c r="Q7" s="3">
        <v>990000</v>
      </c>
      <c r="R7" s="3">
        <v>4290000</v>
      </c>
    </row>
    <row r="8" spans="1:18">
      <c r="A8">
        <v>1005</v>
      </c>
      <c r="B8" s="1">
        <v>46239</v>
      </c>
      <c r="C8" s="1" t="str">
        <f>TEXT(B8,"mmmm")</f>
        <v>August</v>
      </c>
      <c r="D8" t="s">
        <v>15</v>
      </c>
      <c r="E8" t="s">
        <v>20</v>
      </c>
      <c r="F8" t="s">
        <v>17</v>
      </c>
      <c r="G8">
        <v>2</v>
      </c>
      <c r="H8">
        <v>55000</v>
      </c>
      <c r="I8" s="3">
        <v>165000</v>
      </c>
      <c r="J8" s="2">
        <f t="shared" si="0"/>
        <v>200000</v>
      </c>
      <c r="K8" s="2">
        <f t="shared" si="1"/>
        <v>82.5</v>
      </c>
    </row>
    <row r="9" spans="1:18">
      <c r="A9">
        <v>1006</v>
      </c>
      <c r="B9" s="1">
        <v>46240</v>
      </c>
      <c r="C9" s="1" t="str">
        <f>TEXT(B9,"mmmm")</f>
        <v>August</v>
      </c>
      <c r="D9" t="s">
        <v>19</v>
      </c>
      <c r="E9" t="s">
        <v>16</v>
      </c>
      <c r="F9" t="s">
        <v>24</v>
      </c>
      <c r="G9">
        <v>7</v>
      </c>
      <c r="H9">
        <v>22000</v>
      </c>
      <c r="I9" s="3">
        <v>165000</v>
      </c>
      <c r="J9" s="2">
        <f t="shared" si="0"/>
        <v>150000</v>
      </c>
      <c r="K9" s="2">
        <f t="shared" si="1"/>
        <v>110.00000000000001</v>
      </c>
      <c r="M9" s="4" t="s">
        <v>13</v>
      </c>
      <c r="N9" s="4" t="s">
        <v>5</v>
      </c>
    </row>
    <row r="10" spans="1:18">
      <c r="A10">
        <v>1007</v>
      </c>
      <c r="B10" s="1">
        <v>46241</v>
      </c>
      <c r="C10" s="1" t="str">
        <f>TEXT(B10,"mmmm")</f>
        <v>August</v>
      </c>
      <c r="D10" t="s">
        <v>22</v>
      </c>
      <c r="E10" t="s">
        <v>25</v>
      </c>
      <c r="F10" t="s">
        <v>21</v>
      </c>
      <c r="G10">
        <v>6</v>
      </c>
      <c r="H10">
        <v>18000</v>
      </c>
      <c r="I10" s="3">
        <v>165000</v>
      </c>
      <c r="J10" s="2">
        <f t="shared" si="0"/>
        <v>100000</v>
      </c>
      <c r="K10" s="2">
        <f t="shared" si="1"/>
        <v>165</v>
      </c>
      <c r="M10" s="4" t="s">
        <v>4</v>
      </c>
      <c r="N10" t="s">
        <v>23</v>
      </c>
      <c r="O10" t="s">
        <v>16</v>
      </c>
      <c r="P10" t="s">
        <v>20</v>
      </c>
      <c r="Q10" t="s">
        <v>25</v>
      </c>
      <c r="R10" t="s">
        <v>27</v>
      </c>
    </row>
    <row r="11" spans="1:18">
      <c r="A11">
        <v>1008</v>
      </c>
      <c r="B11" s="1">
        <v>46242</v>
      </c>
      <c r="C11" s="1" t="str">
        <f>TEXT(B11,"mmmm")</f>
        <v>August</v>
      </c>
      <c r="D11" t="s">
        <v>18</v>
      </c>
      <c r="E11" t="s">
        <v>23</v>
      </c>
      <c r="F11" t="s">
        <v>26</v>
      </c>
      <c r="G11">
        <v>10</v>
      </c>
      <c r="H11">
        <v>2500</v>
      </c>
      <c r="I11" s="3">
        <v>165000</v>
      </c>
      <c r="J11" s="2">
        <f t="shared" si="0"/>
        <v>30000</v>
      </c>
      <c r="K11" s="2">
        <f t="shared" si="1"/>
        <v>550</v>
      </c>
      <c r="M11" t="s">
        <v>18</v>
      </c>
      <c r="N11" s="3">
        <v>495000</v>
      </c>
      <c r="O11" s="3">
        <v>495000</v>
      </c>
      <c r="P11" s="3">
        <v>495000</v>
      </c>
      <c r="Q11" s="3">
        <v>495000</v>
      </c>
      <c r="R11" s="3">
        <v>1980000</v>
      </c>
    </row>
    <row r="12" spans="1:18">
      <c r="A12">
        <v>1009</v>
      </c>
      <c r="B12" s="1">
        <v>46243</v>
      </c>
      <c r="C12" s="1" t="str">
        <f>TEXT(B12,"mmmm")</f>
        <v>August</v>
      </c>
      <c r="D12" t="s">
        <v>15</v>
      </c>
      <c r="E12" t="s">
        <v>23</v>
      </c>
      <c r="F12" t="s">
        <v>24</v>
      </c>
      <c r="G12">
        <v>4</v>
      </c>
      <c r="H12">
        <v>55000</v>
      </c>
      <c r="I12" s="3">
        <v>165000</v>
      </c>
      <c r="J12" s="2">
        <f t="shared" si="0"/>
        <v>200000</v>
      </c>
      <c r="K12" s="2">
        <f t="shared" si="1"/>
        <v>82.5</v>
      </c>
      <c r="M12" t="s">
        <v>22</v>
      </c>
      <c r="N12" s="3">
        <v>495000</v>
      </c>
      <c r="O12" s="3">
        <v>495000</v>
      </c>
      <c r="P12" s="3">
        <v>495000</v>
      </c>
      <c r="Q12" s="3">
        <v>495000</v>
      </c>
      <c r="R12" s="3">
        <v>1980000</v>
      </c>
    </row>
    <row r="13" spans="1:18">
      <c r="A13">
        <v>1010</v>
      </c>
      <c r="B13" s="1">
        <v>46244</v>
      </c>
      <c r="C13" s="1" t="str">
        <f>TEXT(B13,"mmmm")</f>
        <v>August</v>
      </c>
      <c r="D13" t="s">
        <v>19</v>
      </c>
      <c r="E13" t="s">
        <v>25</v>
      </c>
      <c r="F13" t="s">
        <v>17</v>
      </c>
      <c r="G13">
        <v>3</v>
      </c>
      <c r="H13">
        <v>22000</v>
      </c>
      <c r="I13" s="3">
        <v>165000</v>
      </c>
      <c r="J13" s="2">
        <f t="shared" si="0"/>
        <v>150000</v>
      </c>
      <c r="K13" s="2">
        <f t="shared" si="1"/>
        <v>110.00000000000001</v>
      </c>
      <c r="M13" t="s">
        <v>27</v>
      </c>
      <c r="N13" s="3">
        <v>990000</v>
      </c>
      <c r="O13" s="3">
        <v>990000</v>
      </c>
      <c r="P13" s="3">
        <v>990000</v>
      </c>
      <c r="Q13" s="3">
        <v>990000</v>
      </c>
      <c r="R13" s="3">
        <v>3960000</v>
      </c>
    </row>
    <row r="14" spans="1:18">
      <c r="A14">
        <v>1011</v>
      </c>
      <c r="B14" s="1">
        <v>46245</v>
      </c>
      <c r="C14" s="1" t="str">
        <f>TEXT(B14,"mmmm")</f>
        <v>August</v>
      </c>
      <c r="D14" t="s">
        <v>22</v>
      </c>
      <c r="E14" t="s">
        <v>16</v>
      </c>
      <c r="F14" t="s">
        <v>26</v>
      </c>
      <c r="G14">
        <v>5</v>
      </c>
      <c r="H14">
        <v>18000</v>
      </c>
      <c r="I14" s="3">
        <v>165000</v>
      </c>
      <c r="J14" s="2">
        <f t="shared" si="0"/>
        <v>100000</v>
      </c>
      <c r="K14" s="2">
        <f t="shared" si="1"/>
        <v>165</v>
      </c>
    </row>
    <row r="15" spans="1:18">
      <c r="A15">
        <v>1012</v>
      </c>
      <c r="B15" s="1">
        <v>46246</v>
      </c>
      <c r="C15" s="1" t="str">
        <f>TEXT(B15,"mmmm")</f>
        <v>August</v>
      </c>
      <c r="D15" t="s">
        <v>18</v>
      </c>
      <c r="E15" t="s">
        <v>20</v>
      </c>
      <c r="F15" t="s">
        <v>21</v>
      </c>
      <c r="G15">
        <v>12</v>
      </c>
      <c r="H15">
        <v>2500</v>
      </c>
      <c r="I15" s="3">
        <v>165000</v>
      </c>
      <c r="J15" s="2">
        <f t="shared" si="0"/>
        <v>30000</v>
      </c>
      <c r="K15" s="2">
        <f t="shared" si="1"/>
        <v>550</v>
      </c>
    </row>
    <row r="16" spans="1:18">
      <c r="A16">
        <v>1013</v>
      </c>
      <c r="B16" s="1">
        <v>46247</v>
      </c>
      <c r="C16" s="1" t="str">
        <f>TEXT(B16,"mmmm")</f>
        <v>August</v>
      </c>
      <c r="D16" t="s">
        <v>15</v>
      </c>
      <c r="E16" t="s">
        <v>25</v>
      </c>
      <c r="F16" t="s">
        <v>21</v>
      </c>
      <c r="G16">
        <v>2</v>
      </c>
      <c r="H16">
        <v>55000</v>
      </c>
      <c r="I16" s="3">
        <v>165000</v>
      </c>
      <c r="J16" s="2">
        <f t="shared" si="0"/>
        <v>200000</v>
      </c>
      <c r="K16" s="2">
        <f t="shared" si="1"/>
        <v>82.5</v>
      </c>
    </row>
    <row r="17" spans="1:11">
      <c r="A17">
        <v>1014</v>
      </c>
      <c r="B17" s="1">
        <v>46248</v>
      </c>
      <c r="C17" s="1" t="str">
        <f>TEXT(B17,"mmmm")</f>
        <v>August</v>
      </c>
      <c r="D17" t="s">
        <v>19</v>
      </c>
      <c r="E17" t="s">
        <v>23</v>
      </c>
      <c r="F17" t="s">
        <v>26</v>
      </c>
      <c r="G17">
        <v>6</v>
      </c>
      <c r="H17">
        <v>22000</v>
      </c>
      <c r="I17" s="3">
        <v>165000</v>
      </c>
      <c r="J17" s="2">
        <f t="shared" si="0"/>
        <v>150000</v>
      </c>
      <c r="K17" s="2">
        <f t="shared" si="1"/>
        <v>110.00000000000001</v>
      </c>
    </row>
    <row r="18" spans="1:11">
      <c r="A18">
        <v>1015</v>
      </c>
      <c r="B18" s="1">
        <v>46249</v>
      </c>
      <c r="C18" s="1" t="str">
        <f>TEXT(B18,"mmmm")</f>
        <v>August</v>
      </c>
      <c r="D18" t="s">
        <v>22</v>
      </c>
      <c r="E18" t="s">
        <v>20</v>
      </c>
      <c r="F18" t="s">
        <v>17</v>
      </c>
      <c r="G18">
        <v>7</v>
      </c>
      <c r="H18">
        <v>18000</v>
      </c>
      <c r="I18" s="3">
        <v>165000</v>
      </c>
      <c r="J18" s="2">
        <f t="shared" si="0"/>
        <v>100000</v>
      </c>
      <c r="K18" s="2">
        <f t="shared" si="1"/>
        <v>165</v>
      </c>
    </row>
    <row r="19" spans="1:11">
      <c r="A19">
        <v>1016</v>
      </c>
      <c r="B19" s="1">
        <v>46250</v>
      </c>
      <c r="C19" s="1" t="str">
        <f>TEXT(B19,"mmmm")</f>
        <v>August</v>
      </c>
      <c r="D19" t="s">
        <v>18</v>
      </c>
      <c r="E19" t="s">
        <v>16</v>
      </c>
      <c r="F19" t="s">
        <v>24</v>
      </c>
      <c r="G19">
        <v>9</v>
      </c>
      <c r="H19">
        <v>2500</v>
      </c>
      <c r="I19" s="3">
        <v>165000</v>
      </c>
      <c r="J19" s="2">
        <f t="shared" si="0"/>
        <v>30000</v>
      </c>
      <c r="K19" s="2">
        <f t="shared" si="1"/>
        <v>550</v>
      </c>
    </row>
    <row r="20" spans="1:11">
      <c r="A20">
        <v>1017</v>
      </c>
      <c r="B20" s="1">
        <v>46251</v>
      </c>
      <c r="C20" s="1" t="str">
        <f>TEXT(B20,"mmmm")</f>
        <v>August</v>
      </c>
      <c r="D20" t="s">
        <v>15</v>
      </c>
      <c r="E20" t="s">
        <v>16</v>
      </c>
      <c r="F20" t="s">
        <v>26</v>
      </c>
      <c r="G20">
        <v>5</v>
      </c>
      <c r="H20">
        <v>55000</v>
      </c>
      <c r="I20" s="3">
        <v>165000</v>
      </c>
      <c r="J20" s="2">
        <f t="shared" si="0"/>
        <v>200000</v>
      </c>
      <c r="K20" s="2">
        <f t="shared" si="1"/>
        <v>82.5</v>
      </c>
    </row>
    <row r="21" spans="1:11">
      <c r="A21">
        <v>1018</v>
      </c>
      <c r="B21" s="1">
        <v>46252</v>
      </c>
      <c r="C21" s="1" t="str">
        <f>TEXT(B21,"mmmm")</f>
        <v>August</v>
      </c>
      <c r="D21" t="s">
        <v>19</v>
      </c>
      <c r="E21" t="s">
        <v>20</v>
      </c>
      <c r="F21" t="s">
        <v>24</v>
      </c>
      <c r="G21">
        <v>4</v>
      </c>
      <c r="H21">
        <v>22000</v>
      </c>
      <c r="I21" s="3">
        <v>165000</v>
      </c>
      <c r="J21" s="2">
        <f t="shared" si="0"/>
        <v>150000</v>
      </c>
      <c r="K21" s="2">
        <f t="shared" si="1"/>
        <v>110.00000000000001</v>
      </c>
    </row>
    <row r="22" spans="1:11">
      <c r="A22">
        <v>1019</v>
      </c>
      <c r="B22" s="1">
        <v>46253</v>
      </c>
      <c r="C22" s="1" t="str">
        <f>TEXT(B22,"mmmm")</f>
        <v>August</v>
      </c>
      <c r="D22" t="s">
        <v>22</v>
      </c>
      <c r="E22" t="s">
        <v>23</v>
      </c>
      <c r="F22" t="s">
        <v>17</v>
      </c>
      <c r="G22">
        <v>8</v>
      </c>
      <c r="H22">
        <v>18000</v>
      </c>
      <c r="I22" s="3">
        <v>165000</v>
      </c>
      <c r="J22" s="2">
        <f t="shared" si="0"/>
        <v>100000</v>
      </c>
      <c r="K22" s="2">
        <f t="shared" si="1"/>
        <v>165</v>
      </c>
    </row>
    <row r="23" spans="1:11">
      <c r="A23">
        <v>1020</v>
      </c>
      <c r="B23" s="1">
        <v>46254</v>
      </c>
      <c r="C23" s="1" t="str">
        <f>TEXT(B23,"mmmm")</f>
        <v>August</v>
      </c>
      <c r="D23" t="s">
        <v>18</v>
      </c>
      <c r="E23" t="s">
        <v>25</v>
      </c>
      <c r="F23" t="s">
        <v>21</v>
      </c>
      <c r="G23">
        <v>15</v>
      </c>
      <c r="H23">
        <v>2500</v>
      </c>
      <c r="I23" s="3">
        <v>165000</v>
      </c>
      <c r="J23" s="2">
        <f t="shared" si="0"/>
        <v>30000</v>
      </c>
      <c r="K23" s="2">
        <f t="shared" si="1"/>
        <v>550</v>
      </c>
    </row>
    <row r="24" spans="1:11">
      <c r="A24">
        <v>1021</v>
      </c>
      <c r="B24" s="1">
        <v>46255</v>
      </c>
      <c r="C24" s="1" t="str">
        <f>TEXT(B24,"mmmm")</f>
        <v>August</v>
      </c>
      <c r="D24" t="s">
        <v>15</v>
      </c>
      <c r="E24" t="s">
        <v>20</v>
      </c>
      <c r="F24" t="s">
        <v>24</v>
      </c>
      <c r="G24">
        <v>3</v>
      </c>
      <c r="H24">
        <v>55000</v>
      </c>
      <c r="I24" s="3">
        <v>165000</v>
      </c>
      <c r="J24" s="2">
        <f t="shared" si="0"/>
        <v>200000</v>
      </c>
      <c r="K24" s="2">
        <f t="shared" si="1"/>
        <v>82.5</v>
      </c>
    </row>
    <row r="25" spans="1:11">
      <c r="A25">
        <v>1022</v>
      </c>
      <c r="B25" s="1">
        <v>46256</v>
      </c>
      <c r="C25" s="1" t="str">
        <f>TEXT(B25,"mmmm")</f>
        <v>August</v>
      </c>
      <c r="D25" t="s">
        <v>19</v>
      </c>
      <c r="E25" t="s">
        <v>16</v>
      </c>
      <c r="F25" t="s">
        <v>21</v>
      </c>
      <c r="G25">
        <v>8</v>
      </c>
      <c r="H25">
        <v>22000</v>
      </c>
      <c r="I25" s="3">
        <v>165000</v>
      </c>
      <c r="J25" s="2">
        <f t="shared" si="0"/>
        <v>150000</v>
      </c>
      <c r="K25" s="2">
        <f t="shared" si="1"/>
        <v>110.00000000000001</v>
      </c>
    </row>
    <row r="26" spans="1:11">
      <c r="A26">
        <v>1023</v>
      </c>
      <c r="B26" s="1">
        <v>46257</v>
      </c>
      <c r="C26" s="1" t="str">
        <f>TEXT(B26,"mmmm")</f>
        <v>August</v>
      </c>
      <c r="D26" t="s">
        <v>22</v>
      </c>
      <c r="E26" t="s">
        <v>25</v>
      </c>
      <c r="F26" t="s">
        <v>26</v>
      </c>
      <c r="G26">
        <v>4</v>
      </c>
      <c r="H26">
        <v>18000</v>
      </c>
      <c r="I26" s="3">
        <v>165000</v>
      </c>
      <c r="J26" s="2">
        <f t="shared" si="0"/>
        <v>100000</v>
      </c>
      <c r="K26" s="2">
        <f t="shared" si="1"/>
        <v>165</v>
      </c>
    </row>
    <row r="27" spans="1:11">
      <c r="A27">
        <v>1024</v>
      </c>
      <c r="B27" s="1">
        <v>46258</v>
      </c>
      <c r="C27" s="1" t="str">
        <f>TEXT(B27,"mmmm")</f>
        <v>August</v>
      </c>
      <c r="D27" t="s">
        <v>18</v>
      </c>
      <c r="E27" t="s">
        <v>23</v>
      </c>
      <c r="F27" t="s">
        <v>17</v>
      </c>
      <c r="G27">
        <v>11</v>
      </c>
      <c r="H27">
        <v>2500</v>
      </c>
      <c r="I27" s="3">
        <v>165000</v>
      </c>
      <c r="J27" s="2">
        <f t="shared" si="0"/>
        <v>30000</v>
      </c>
      <c r="K27" s="2">
        <f t="shared" si="1"/>
        <v>550</v>
      </c>
    </row>
    <row r="28" spans="1:11">
      <c r="A28">
        <v>1025</v>
      </c>
      <c r="B28" s="1">
        <v>46259</v>
      </c>
      <c r="C28" s="1" t="str">
        <f>TEXT(B28,"mmmm")</f>
        <v>August</v>
      </c>
      <c r="D28" t="s">
        <v>15</v>
      </c>
      <c r="E28" t="s">
        <v>23</v>
      </c>
      <c r="F28" t="s">
        <v>21</v>
      </c>
      <c r="G28">
        <v>2</v>
      </c>
      <c r="H28">
        <v>55000</v>
      </c>
      <c r="I28" s="3">
        <v>165000</v>
      </c>
      <c r="J28" s="2">
        <f t="shared" si="0"/>
        <v>200000</v>
      </c>
      <c r="K28" s="2">
        <f t="shared" si="1"/>
        <v>82.5</v>
      </c>
    </row>
    <row r="29" spans="1:11">
      <c r="A29">
        <v>1026</v>
      </c>
      <c r="B29" s="1">
        <v>46260</v>
      </c>
      <c r="C29" s="1" t="str">
        <f>TEXT(B29,"mmmm")</f>
        <v>August</v>
      </c>
      <c r="D29" t="s">
        <v>19</v>
      </c>
      <c r="E29" t="s">
        <v>25</v>
      </c>
      <c r="F29" t="s">
        <v>24</v>
      </c>
      <c r="G29">
        <v>5</v>
      </c>
      <c r="H29">
        <v>22000</v>
      </c>
      <c r="I29" s="3">
        <v>165000</v>
      </c>
      <c r="J29" s="2">
        <f t="shared" si="0"/>
        <v>150000</v>
      </c>
      <c r="K29" s="2">
        <f t="shared" si="1"/>
        <v>110.00000000000001</v>
      </c>
    </row>
    <row r="30" spans="1:11">
      <c r="A30">
        <v>1027</v>
      </c>
      <c r="B30" s="1">
        <v>46261</v>
      </c>
      <c r="C30" s="1" t="str">
        <f>TEXT(B30,"mmmm")</f>
        <v>August</v>
      </c>
      <c r="D30" t="s">
        <v>22</v>
      </c>
      <c r="E30" t="s">
        <v>16</v>
      </c>
      <c r="F30" t="s">
        <v>17</v>
      </c>
      <c r="G30">
        <v>6</v>
      </c>
      <c r="H30">
        <v>18000</v>
      </c>
      <c r="I30" s="3">
        <v>165000</v>
      </c>
      <c r="J30" s="2">
        <f t="shared" si="0"/>
        <v>100000</v>
      </c>
      <c r="K30" s="2">
        <f t="shared" si="1"/>
        <v>165</v>
      </c>
    </row>
    <row r="31" spans="1:11">
      <c r="A31">
        <v>1028</v>
      </c>
      <c r="B31" s="1">
        <v>46262</v>
      </c>
      <c r="C31" s="1" t="str">
        <f>TEXT(B31,"mmmm")</f>
        <v>August</v>
      </c>
      <c r="D31" t="s">
        <v>18</v>
      </c>
      <c r="E31" t="s">
        <v>20</v>
      </c>
      <c r="F31" t="s">
        <v>26</v>
      </c>
      <c r="G31">
        <v>14</v>
      </c>
      <c r="H31">
        <v>2500</v>
      </c>
      <c r="I31" s="3">
        <v>165000</v>
      </c>
      <c r="J31" s="2">
        <f t="shared" si="0"/>
        <v>30000</v>
      </c>
      <c r="K31" s="2">
        <f t="shared" si="1"/>
        <v>550</v>
      </c>
    </row>
    <row r="32" spans="1:11">
      <c r="A32">
        <v>1029</v>
      </c>
      <c r="B32" s="1">
        <v>46263</v>
      </c>
      <c r="C32" s="1" t="str">
        <f>TEXT(B32,"mmmm")</f>
        <v>August</v>
      </c>
      <c r="D32" t="s">
        <v>15</v>
      </c>
      <c r="E32" t="s">
        <v>25</v>
      </c>
      <c r="F32" t="s">
        <v>26</v>
      </c>
      <c r="G32">
        <v>4</v>
      </c>
      <c r="H32">
        <v>55000</v>
      </c>
      <c r="I32" s="3">
        <v>165000</v>
      </c>
      <c r="J32" s="2">
        <f t="shared" si="0"/>
        <v>200000</v>
      </c>
      <c r="K32" s="2">
        <f t="shared" si="1"/>
        <v>82.5</v>
      </c>
    </row>
    <row r="33" spans="1:11">
      <c r="A33">
        <v>1030</v>
      </c>
      <c r="B33" s="1">
        <v>46264</v>
      </c>
      <c r="C33" s="1" t="str">
        <f>TEXT(B33,"mmmm")</f>
        <v>August</v>
      </c>
      <c r="D33" t="s">
        <v>19</v>
      </c>
      <c r="E33" t="s">
        <v>23</v>
      </c>
      <c r="F33" t="s">
        <v>17</v>
      </c>
      <c r="G33">
        <v>7</v>
      </c>
      <c r="H33">
        <v>22000</v>
      </c>
      <c r="I33" s="3">
        <v>165000</v>
      </c>
      <c r="J33" s="2">
        <f t="shared" si="0"/>
        <v>150000</v>
      </c>
      <c r="K33" s="2">
        <f t="shared" si="1"/>
        <v>110.00000000000001</v>
      </c>
    </row>
    <row r="34" spans="1:11">
      <c r="A34">
        <v>1031</v>
      </c>
      <c r="B34" s="1">
        <v>46265</v>
      </c>
      <c r="C34" s="1" t="str">
        <f>TEXT(B34,"mmmm")</f>
        <v>August</v>
      </c>
      <c r="D34" t="s">
        <v>22</v>
      </c>
      <c r="E34" t="s">
        <v>20</v>
      </c>
      <c r="F34" t="s">
        <v>21</v>
      </c>
      <c r="G34">
        <v>5</v>
      </c>
      <c r="H34">
        <v>18000</v>
      </c>
      <c r="I34" s="3">
        <v>165000</v>
      </c>
      <c r="J34" s="2">
        <f t="shared" si="0"/>
        <v>100000</v>
      </c>
      <c r="K34" s="2">
        <f t="shared" si="1"/>
        <v>165</v>
      </c>
    </row>
    <row r="35" spans="1:11">
      <c r="A35">
        <v>1032</v>
      </c>
      <c r="B35" s="1">
        <v>46266</v>
      </c>
      <c r="C35" s="1" t="str">
        <f>TEXT(B35,"mmmm")</f>
        <v>September</v>
      </c>
      <c r="D35" t="s">
        <v>18</v>
      </c>
      <c r="E35" t="s">
        <v>16</v>
      </c>
      <c r="F35" t="s">
        <v>24</v>
      </c>
      <c r="G35">
        <v>13</v>
      </c>
      <c r="H35">
        <v>2500</v>
      </c>
      <c r="I35" s="3">
        <v>165000</v>
      </c>
      <c r="J35" s="2">
        <f t="shared" si="0"/>
        <v>30000</v>
      </c>
      <c r="K35" s="2">
        <f t="shared" si="1"/>
        <v>550</v>
      </c>
    </row>
    <row r="36" spans="1:11">
      <c r="A36">
        <v>1033</v>
      </c>
      <c r="B36" s="1">
        <v>46267</v>
      </c>
      <c r="C36" s="1" t="str">
        <f>TEXT(B36,"mmmm")</f>
        <v>September</v>
      </c>
      <c r="D36" t="s">
        <v>15</v>
      </c>
      <c r="E36" t="s">
        <v>16</v>
      </c>
      <c r="F36" t="s">
        <v>21</v>
      </c>
      <c r="G36">
        <v>3</v>
      </c>
      <c r="H36">
        <v>55000</v>
      </c>
      <c r="I36" s="3">
        <v>165000</v>
      </c>
      <c r="J36" s="2">
        <f t="shared" si="0"/>
        <v>200000</v>
      </c>
      <c r="K36" s="2">
        <f t="shared" si="1"/>
        <v>82.5</v>
      </c>
    </row>
    <row r="37" spans="1:11">
      <c r="A37">
        <v>1034</v>
      </c>
      <c r="B37" s="1">
        <v>46268</v>
      </c>
      <c r="C37" s="1" t="str">
        <f>TEXT(B37,"mmmm")</f>
        <v>September</v>
      </c>
      <c r="D37" t="s">
        <v>19</v>
      </c>
      <c r="E37" t="s">
        <v>20</v>
      </c>
      <c r="F37" t="s">
        <v>26</v>
      </c>
      <c r="G37">
        <v>6</v>
      </c>
      <c r="H37">
        <v>22000</v>
      </c>
      <c r="I37" s="3">
        <v>165000</v>
      </c>
      <c r="J37" s="2">
        <f t="shared" si="0"/>
        <v>150000</v>
      </c>
      <c r="K37" s="2">
        <f t="shared" si="1"/>
        <v>110.00000000000001</v>
      </c>
    </row>
    <row r="38" spans="1:11">
      <c r="A38">
        <v>1035</v>
      </c>
      <c r="B38" s="1">
        <v>46269</v>
      </c>
      <c r="C38" s="1" t="str">
        <f>TEXT(B38,"mmmm")</f>
        <v>September</v>
      </c>
      <c r="D38" t="s">
        <v>22</v>
      </c>
      <c r="E38" t="s">
        <v>23</v>
      </c>
      <c r="F38" t="s">
        <v>24</v>
      </c>
      <c r="G38">
        <v>9</v>
      </c>
      <c r="H38">
        <v>18000</v>
      </c>
      <c r="I38" s="3">
        <v>165000</v>
      </c>
      <c r="J38" s="2">
        <f t="shared" si="0"/>
        <v>100000</v>
      </c>
      <c r="K38" s="2">
        <f t="shared" si="1"/>
        <v>165</v>
      </c>
    </row>
    <row r="39" spans="1:11">
      <c r="A39">
        <v>1036</v>
      </c>
      <c r="B39" s="1">
        <v>46270</v>
      </c>
      <c r="C39" s="1" t="str">
        <f>TEXT(B39,"mmmm")</f>
        <v>September</v>
      </c>
      <c r="D39" t="s">
        <v>18</v>
      </c>
      <c r="E39" t="s">
        <v>25</v>
      </c>
      <c r="F39" t="s">
        <v>17</v>
      </c>
      <c r="G39">
        <v>16</v>
      </c>
      <c r="H39">
        <v>2500</v>
      </c>
      <c r="I39" s="3">
        <v>165000</v>
      </c>
      <c r="J39" s="2">
        <f t="shared" si="0"/>
        <v>30000</v>
      </c>
      <c r="K39" s="2">
        <f t="shared" si="1"/>
        <v>550</v>
      </c>
    </row>
    <row r="40" spans="1:11">
      <c r="A40">
        <v>1037</v>
      </c>
      <c r="B40" s="1">
        <v>46271</v>
      </c>
      <c r="C40" s="1" t="str">
        <f>TEXT(B40,"mmmm")</f>
        <v>September</v>
      </c>
      <c r="D40" t="s">
        <v>15</v>
      </c>
      <c r="E40" t="s">
        <v>20</v>
      </c>
      <c r="F40" t="s">
        <v>26</v>
      </c>
      <c r="G40">
        <v>2</v>
      </c>
      <c r="H40">
        <v>55000</v>
      </c>
      <c r="I40" s="3">
        <v>165000</v>
      </c>
      <c r="J40" s="2">
        <f t="shared" si="0"/>
        <v>200000</v>
      </c>
      <c r="K40" s="2">
        <f t="shared" si="1"/>
        <v>82.5</v>
      </c>
    </row>
    <row r="41" spans="1:11">
      <c r="A41">
        <v>1038</v>
      </c>
      <c r="B41" s="1">
        <v>46272</v>
      </c>
      <c r="C41" s="1" t="str">
        <f>TEXT(B41,"mmmm")</f>
        <v>September</v>
      </c>
      <c r="D41" t="s">
        <v>19</v>
      </c>
      <c r="E41" t="s">
        <v>16</v>
      </c>
      <c r="F41" t="s">
        <v>17</v>
      </c>
      <c r="G41">
        <v>9</v>
      </c>
      <c r="H41">
        <v>22000</v>
      </c>
      <c r="I41" s="3">
        <v>165000</v>
      </c>
      <c r="J41" s="2">
        <f t="shared" si="0"/>
        <v>150000</v>
      </c>
      <c r="K41" s="2">
        <f t="shared" si="1"/>
        <v>110.00000000000001</v>
      </c>
    </row>
    <row r="42" spans="1:11">
      <c r="A42">
        <v>1039</v>
      </c>
      <c r="B42" s="1">
        <v>46273</v>
      </c>
      <c r="C42" s="1" t="str">
        <f>TEXT(B42,"mmmm")</f>
        <v>September</v>
      </c>
      <c r="D42" t="s">
        <v>22</v>
      </c>
      <c r="E42" t="s">
        <v>25</v>
      </c>
      <c r="F42" t="s">
        <v>24</v>
      </c>
      <c r="G42">
        <v>6</v>
      </c>
      <c r="H42">
        <v>18000</v>
      </c>
      <c r="I42" s="3">
        <v>165000</v>
      </c>
      <c r="J42" s="2">
        <f t="shared" si="0"/>
        <v>100000</v>
      </c>
      <c r="K42" s="2">
        <f t="shared" si="1"/>
        <v>165</v>
      </c>
    </row>
    <row r="43" spans="1:11">
      <c r="A43">
        <v>1040</v>
      </c>
      <c r="B43" s="1">
        <v>46274</v>
      </c>
      <c r="C43" s="1" t="str">
        <f>TEXT(B43,"mmmm")</f>
        <v>September</v>
      </c>
      <c r="D43" t="s">
        <v>18</v>
      </c>
      <c r="E43" t="s">
        <v>23</v>
      </c>
      <c r="F43" t="s">
        <v>21</v>
      </c>
      <c r="G43">
        <v>12</v>
      </c>
      <c r="H43">
        <v>2500</v>
      </c>
      <c r="I43" s="3">
        <v>165000</v>
      </c>
      <c r="J43" s="2">
        <f t="shared" si="0"/>
        <v>30000</v>
      </c>
      <c r="K43" s="2">
        <f t="shared" si="1"/>
        <v>550</v>
      </c>
    </row>
    <row r="44" spans="1:11">
      <c r="A44">
        <v>1041</v>
      </c>
      <c r="B44" s="1">
        <v>46275</v>
      </c>
      <c r="C44" s="1" t="str">
        <f>TEXT(B44,"mmmm")</f>
        <v>September</v>
      </c>
      <c r="D44" t="s">
        <v>15</v>
      </c>
      <c r="E44" t="s">
        <v>23</v>
      </c>
      <c r="F44" t="s">
        <v>17</v>
      </c>
      <c r="G44">
        <v>5</v>
      </c>
      <c r="H44">
        <v>55000</v>
      </c>
      <c r="I44" s="3">
        <v>165000</v>
      </c>
      <c r="J44" s="2">
        <f t="shared" si="0"/>
        <v>200000</v>
      </c>
      <c r="K44" s="2">
        <f t="shared" si="1"/>
        <v>82.5</v>
      </c>
    </row>
    <row r="45" spans="1:11">
      <c r="A45">
        <v>1042</v>
      </c>
      <c r="B45" s="1">
        <v>46276</v>
      </c>
      <c r="C45" s="1" t="str">
        <f>TEXT(B45,"mmmm")</f>
        <v>September</v>
      </c>
      <c r="D45" t="s">
        <v>19</v>
      </c>
      <c r="E45" t="s">
        <v>25</v>
      </c>
      <c r="F45" t="s">
        <v>21</v>
      </c>
      <c r="G45">
        <v>4</v>
      </c>
      <c r="H45">
        <v>22000</v>
      </c>
      <c r="I45" s="3">
        <v>165000</v>
      </c>
      <c r="J45" s="2">
        <f t="shared" si="0"/>
        <v>150000</v>
      </c>
      <c r="K45" s="2">
        <f t="shared" si="1"/>
        <v>110.00000000000001</v>
      </c>
    </row>
    <row r="46" spans="1:11">
      <c r="A46">
        <v>1043</v>
      </c>
      <c r="B46" s="1">
        <v>46277</v>
      </c>
      <c r="C46" s="1" t="str">
        <f>TEXT(B46,"mmmm")</f>
        <v>September</v>
      </c>
      <c r="D46" t="s">
        <v>22</v>
      </c>
      <c r="E46" t="s">
        <v>16</v>
      </c>
      <c r="F46" t="s">
        <v>26</v>
      </c>
      <c r="G46">
        <v>7</v>
      </c>
      <c r="H46">
        <v>18000</v>
      </c>
      <c r="I46" s="3">
        <v>165000</v>
      </c>
      <c r="J46" s="2">
        <f t="shared" si="0"/>
        <v>100000</v>
      </c>
      <c r="K46" s="2">
        <f t="shared" si="1"/>
        <v>165</v>
      </c>
    </row>
    <row r="47" spans="1:11">
      <c r="A47">
        <v>1044</v>
      </c>
      <c r="B47" s="1">
        <v>46278</v>
      </c>
      <c r="C47" s="1" t="str">
        <f>TEXT(B47,"mmmm")</f>
        <v>September</v>
      </c>
      <c r="D47" t="s">
        <v>18</v>
      </c>
      <c r="E47" t="s">
        <v>20</v>
      </c>
      <c r="F47" t="s">
        <v>24</v>
      </c>
      <c r="G47">
        <v>18</v>
      </c>
      <c r="H47">
        <v>2500</v>
      </c>
      <c r="I47" s="3">
        <v>165000</v>
      </c>
      <c r="J47" s="2">
        <f t="shared" si="0"/>
        <v>30000</v>
      </c>
      <c r="K47" s="2">
        <f t="shared" si="1"/>
        <v>550</v>
      </c>
    </row>
    <row r="48" spans="1:11">
      <c r="A48">
        <v>1045</v>
      </c>
      <c r="B48" s="1">
        <v>46279</v>
      </c>
      <c r="C48" s="1" t="str">
        <f>TEXT(B48,"mmmm")</f>
        <v>September</v>
      </c>
      <c r="D48" t="s">
        <v>15</v>
      </c>
      <c r="E48" t="s">
        <v>25</v>
      </c>
      <c r="F48" t="s">
        <v>24</v>
      </c>
      <c r="G48">
        <v>3</v>
      </c>
      <c r="H48">
        <v>55000</v>
      </c>
      <c r="I48" s="3">
        <v>165000</v>
      </c>
      <c r="J48" s="2">
        <f t="shared" si="0"/>
        <v>200000</v>
      </c>
      <c r="K48" s="2">
        <f t="shared" si="1"/>
        <v>82.5</v>
      </c>
    </row>
    <row r="49" spans="1:11">
      <c r="A49">
        <v>1046</v>
      </c>
      <c r="B49" s="1">
        <v>46280</v>
      </c>
      <c r="C49" s="1" t="str">
        <f>TEXT(B49,"mmmm")</f>
        <v>September</v>
      </c>
      <c r="D49" t="s">
        <v>19</v>
      </c>
      <c r="E49" t="s">
        <v>23</v>
      </c>
      <c r="F49" t="s">
        <v>26</v>
      </c>
      <c r="G49">
        <v>8</v>
      </c>
      <c r="H49">
        <v>22000</v>
      </c>
      <c r="I49" s="3">
        <v>165000</v>
      </c>
      <c r="J49" s="2">
        <f t="shared" si="0"/>
        <v>150000</v>
      </c>
      <c r="K49" s="2">
        <f t="shared" si="1"/>
        <v>110.00000000000001</v>
      </c>
    </row>
    <row r="50" spans="1:11">
      <c r="A50">
        <v>1047</v>
      </c>
      <c r="B50" s="1">
        <v>46281</v>
      </c>
      <c r="C50" s="1" t="str">
        <f>TEXT(B50,"mmmm")</f>
        <v>September</v>
      </c>
      <c r="D50" t="s">
        <v>22</v>
      </c>
      <c r="E50" t="s">
        <v>20</v>
      </c>
      <c r="F50" t="s">
        <v>17</v>
      </c>
      <c r="G50">
        <v>6</v>
      </c>
      <c r="H50">
        <v>18000</v>
      </c>
      <c r="I50" s="3">
        <v>165000</v>
      </c>
      <c r="J50" s="2">
        <f t="shared" si="0"/>
        <v>100000</v>
      </c>
      <c r="K50" s="2">
        <f t="shared" si="1"/>
        <v>165</v>
      </c>
    </row>
    <row r="51" spans="1:11">
      <c r="A51">
        <v>1048</v>
      </c>
      <c r="B51" s="1">
        <v>46282</v>
      </c>
      <c r="C51" s="1" t="str">
        <f>TEXT(B51,"mmmm")</f>
        <v>September</v>
      </c>
      <c r="D51" t="s">
        <v>18</v>
      </c>
      <c r="E51" t="s">
        <v>16</v>
      </c>
      <c r="F51" t="s">
        <v>21</v>
      </c>
      <c r="G51">
        <v>10</v>
      </c>
      <c r="H51">
        <v>2500</v>
      </c>
      <c r="I51" s="3">
        <v>165000</v>
      </c>
      <c r="J51" s="2">
        <f t="shared" si="0"/>
        <v>30000</v>
      </c>
      <c r="K51" s="2">
        <f t="shared" si="1"/>
        <v>550</v>
      </c>
    </row>
    <row r="52" spans="1:11">
      <c r="A52">
        <v>1049</v>
      </c>
      <c r="B52" s="1">
        <v>46283</v>
      </c>
      <c r="C52" s="1" t="str">
        <f>TEXT(B52,"mmmm")</f>
        <v>September</v>
      </c>
      <c r="D52" t="s">
        <v>15</v>
      </c>
      <c r="E52" t="s">
        <v>16</v>
      </c>
      <c r="F52" t="s">
        <v>24</v>
      </c>
      <c r="G52">
        <v>4</v>
      </c>
      <c r="H52">
        <v>55000</v>
      </c>
      <c r="I52" s="3">
        <v>165000</v>
      </c>
      <c r="J52" s="2">
        <f t="shared" si="0"/>
        <v>200000</v>
      </c>
      <c r="K52" s="2">
        <f t="shared" si="1"/>
        <v>82.5</v>
      </c>
    </row>
    <row r="53" spans="1:11">
      <c r="A53">
        <v>1050</v>
      </c>
      <c r="B53" s="1">
        <v>46284</v>
      </c>
      <c r="C53" s="1" t="str">
        <f>TEXT(B53,"mmmm")</f>
        <v>September</v>
      </c>
      <c r="D53" t="s">
        <v>19</v>
      </c>
      <c r="E53" t="s">
        <v>20</v>
      </c>
      <c r="F53" t="s">
        <v>17</v>
      </c>
      <c r="G53">
        <v>7</v>
      </c>
      <c r="H53">
        <v>22000</v>
      </c>
      <c r="I53" s="3">
        <v>165000</v>
      </c>
      <c r="J53" s="2">
        <f t="shared" si="0"/>
        <v>150000</v>
      </c>
      <c r="K53" s="2">
        <f t="shared" si="1"/>
        <v>110.00000000000001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3326-17BE-465D-BCBC-C8DB9A365891}">
  <dimension ref="A1:R53"/>
  <sheetViews>
    <sheetView topLeftCell="A36" workbookViewId="0">
      <selection activeCell="A3" sqref="A3:K53"/>
    </sheetView>
  </sheetViews>
  <sheetFormatPr defaultRowHeight="15"/>
  <cols>
    <col min="2" max="2" width="11.42578125" bestFit="1" customWidth="1"/>
    <col min="13" max="13" width="11.7109375" bestFit="1" customWidth="1"/>
    <col min="14" max="14" width="20.42578125" bestFit="1" customWidth="1"/>
    <col min="15" max="15" width="21.5703125" bestFit="1" customWidth="1"/>
    <col min="16" max="17" width="11.42578125" bestFit="1" customWidth="1"/>
    <col min="18" max="18" width="11.7109375" bestFit="1" customWidth="1"/>
  </cols>
  <sheetData>
    <row r="1" spans="1:18" ht="18.75">
      <c r="A1" s="9" t="s">
        <v>30</v>
      </c>
      <c r="B1" s="10"/>
      <c r="C1" s="10"/>
      <c r="D1" s="10"/>
      <c r="E1" s="10"/>
      <c r="F1" s="10"/>
      <c r="G1" s="11"/>
    </row>
    <row r="3" spans="1:1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M3" s="4" t="s">
        <v>13</v>
      </c>
      <c r="N3" s="4" t="s">
        <v>4</v>
      </c>
    </row>
    <row r="4" spans="1:18">
      <c r="A4">
        <v>1001</v>
      </c>
      <c r="B4" s="1">
        <v>46235</v>
      </c>
      <c r="C4" s="1" t="str">
        <f>TEXT(B4,"mmmm")</f>
        <v>August</v>
      </c>
      <c r="D4" t="s">
        <v>15</v>
      </c>
      <c r="E4" t="s">
        <v>16</v>
      </c>
      <c r="F4" t="s">
        <v>17</v>
      </c>
      <c r="G4">
        <v>3</v>
      </c>
      <c r="H4">
        <v>55000</v>
      </c>
      <c r="I4" s="3">
        <v>165000</v>
      </c>
      <c r="J4" s="2">
        <f>IF(D4 = "Laptop",200000,IF( D4 = "Mobile",150000,IF(D4 = "Tablet",100000,IF(D4 = "Headphones",30000,""))))</f>
        <v>200000</v>
      </c>
      <c r="K4" s="2">
        <f>I4/J4*100</f>
        <v>82.5</v>
      </c>
      <c r="M4" s="4" t="s">
        <v>3</v>
      </c>
      <c r="N4" t="s">
        <v>18</v>
      </c>
      <c r="O4" t="s">
        <v>15</v>
      </c>
      <c r="P4" t="s">
        <v>19</v>
      </c>
      <c r="Q4" t="s">
        <v>22</v>
      </c>
      <c r="R4" t="s">
        <v>27</v>
      </c>
    </row>
    <row r="5" spans="1:18">
      <c r="A5">
        <v>1002</v>
      </c>
      <c r="B5" s="1">
        <v>46236</v>
      </c>
      <c r="C5" s="1" t="str">
        <f>TEXT(B5,"mmmm")</f>
        <v>August</v>
      </c>
      <c r="D5" t="s">
        <v>19</v>
      </c>
      <c r="E5" t="s">
        <v>20</v>
      </c>
      <c r="F5" t="s">
        <v>21</v>
      </c>
      <c r="G5">
        <v>5</v>
      </c>
      <c r="H5">
        <v>22000</v>
      </c>
      <c r="I5" s="3">
        <v>165000</v>
      </c>
      <c r="J5" s="2">
        <f t="shared" ref="J5:J53" si="0">IF(D5 = "Laptop",200000,IF( D5 = "Mobile",150000,IF(D5 = "Tablet",100000,IF(D5 = "Headphones",30000,""))))</f>
        <v>150000</v>
      </c>
      <c r="K5" s="2">
        <f t="shared" ref="K5:K53" si="1">I5/J5*100</f>
        <v>110.00000000000001</v>
      </c>
      <c r="M5" t="s">
        <v>31</v>
      </c>
      <c r="N5" s="3">
        <v>1155000</v>
      </c>
      <c r="O5" s="3">
        <v>1320000</v>
      </c>
      <c r="P5" s="3">
        <v>1320000</v>
      </c>
      <c r="Q5" s="3">
        <v>1320000</v>
      </c>
      <c r="R5" s="3">
        <v>5115000</v>
      </c>
    </row>
    <row r="6" spans="1:18">
      <c r="A6">
        <v>1003</v>
      </c>
      <c r="B6" s="1">
        <v>46237</v>
      </c>
      <c r="C6" s="1" t="str">
        <f>TEXT(B6,"mmmm")</f>
        <v>August</v>
      </c>
      <c r="D6" t="s">
        <v>22</v>
      </c>
      <c r="E6" t="s">
        <v>23</v>
      </c>
      <c r="F6" t="s">
        <v>24</v>
      </c>
      <c r="G6">
        <v>4</v>
      </c>
      <c r="H6">
        <v>18000</v>
      </c>
      <c r="I6" s="3">
        <v>165000</v>
      </c>
      <c r="J6" s="2">
        <f t="shared" si="0"/>
        <v>100000</v>
      </c>
      <c r="K6" s="2">
        <f t="shared" si="1"/>
        <v>165</v>
      </c>
      <c r="M6" t="s">
        <v>32</v>
      </c>
      <c r="N6" s="3">
        <v>825000</v>
      </c>
      <c r="O6" s="3">
        <v>825000</v>
      </c>
      <c r="P6" s="3">
        <v>825000</v>
      </c>
      <c r="Q6" s="3">
        <v>660000</v>
      </c>
      <c r="R6" s="3">
        <v>3135000</v>
      </c>
    </row>
    <row r="7" spans="1:18">
      <c r="A7">
        <v>1004</v>
      </c>
      <c r="B7" s="1">
        <v>46238</v>
      </c>
      <c r="C7" s="1" t="str">
        <f>TEXT(B7,"mmmm")</f>
        <v>August</v>
      </c>
      <c r="D7" t="s">
        <v>18</v>
      </c>
      <c r="E7" t="s">
        <v>25</v>
      </c>
      <c r="F7" t="s">
        <v>26</v>
      </c>
      <c r="G7">
        <v>8</v>
      </c>
      <c r="H7">
        <v>2500</v>
      </c>
      <c r="I7" s="3">
        <v>165000</v>
      </c>
      <c r="J7" s="2">
        <f t="shared" si="0"/>
        <v>30000</v>
      </c>
      <c r="K7" s="2">
        <f t="shared" si="1"/>
        <v>550</v>
      </c>
      <c r="M7" t="s">
        <v>27</v>
      </c>
      <c r="N7" s="3">
        <v>1980000</v>
      </c>
      <c r="O7" s="3">
        <v>2145000</v>
      </c>
      <c r="P7" s="3">
        <v>2145000</v>
      </c>
      <c r="Q7" s="3">
        <v>1980000</v>
      </c>
      <c r="R7" s="3">
        <v>8250000</v>
      </c>
    </row>
    <row r="8" spans="1:18">
      <c r="A8">
        <v>1005</v>
      </c>
      <c r="B8" s="1">
        <v>46239</v>
      </c>
      <c r="C8" s="1" t="str">
        <f>TEXT(B8,"mmmm")</f>
        <v>August</v>
      </c>
      <c r="D8" t="s">
        <v>15</v>
      </c>
      <c r="E8" t="s">
        <v>20</v>
      </c>
      <c r="F8" t="s">
        <v>17</v>
      </c>
      <c r="G8">
        <v>2</v>
      </c>
      <c r="H8">
        <v>55000</v>
      </c>
      <c r="I8" s="3">
        <v>165000</v>
      </c>
      <c r="J8" s="2">
        <f t="shared" si="0"/>
        <v>200000</v>
      </c>
      <c r="K8" s="2">
        <f t="shared" si="1"/>
        <v>82.5</v>
      </c>
    </row>
    <row r="9" spans="1:18">
      <c r="A9">
        <v>1006</v>
      </c>
      <c r="B9" s="1">
        <v>46240</v>
      </c>
      <c r="C9" s="1" t="str">
        <f>TEXT(B9,"mmmm")</f>
        <v>August</v>
      </c>
      <c r="D9" t="s">
        <v>19</v>
      </c>
      <c r="E9" t="s">
        <v>16</v>
      </c>
      <c r="F9" t="s">
        <v>24</v>
      </c>
      <c r="G9">
        <v>7</v>
      </c>
      <c r="H9">
        <v>22000</v>
      </c>
      <c r="I9" s="3">
        <v>165000</v>
      </c>
      <c r="J9" s="2">
        <f t="shared" si="0"/>
        <v>150000</v>
      </c>
      <c r="K9" s="2">
        <f t="shared" si="1"/>
        <v>110.00000000000001</v>
      </c>
      <c r="M9" s="4" t="s">
        <v>3</v>
      </c>
      <c r="N9" t="s">
        <v>13</v>
      </c>
      <c r="O9" t="s">
        <v>33</v>
      </c>
    </row>
    <row r="10" spans="1:18">
      <c r="A10">
        <v>1007</v>
      </c>
      <c r="B10" s="1">
        <v>46241</v>
      </c>
      <c r="C10" s="1" t="str">
        <f>TEXT(B10,"mmmm")</f>
        <v>August</v>
      </c>
      <c r="D10" t="s">
        <v>22</v>
      </c>
      <c r="E10" t="s">
        <v>25</v>
      </c>
      <c r="F10" t="s">
        <v>21</v>
      </c>
      <c r="G10">
        <v>6</v>
      </c>
      <c r="H10">
        <v>18000</v>
      </c>
      <c r="I10" s="3">
        <v>165000</v>
      </c>
      <c r="J10" s="2">
        <f t="shared" si="0"/>
        <v>100000</v>
      </c>
      <c r="K10" s="2">
        <f t="shared" si="1"/>
        <v>165</v>
      </c>
      <c r="M10" t="s">
        <v>31</v>
      </c>
      <c r="N10" s="3">
        <v>5115000</v>
      </c>
      <c r="O10" s="5"/>
    </row>
    <row r="11" spans="1:18">
      <c r="A11">
        <v>1008</v>
      </c>
      <c r="B11" s="1">
        <v>46242</v>
      </c>
      <c r="C11" s="1" t="str">
        <f>TEXT(B11,"mmmm")</f>
        <v>August</v>
      </c>
      <c r="D11" t="s">
        <v>18</v>
      </c>
      <c r="E11" t="s">
        <v>23</v>
      </c>
      <c r="F11" t="s">
        <v>26</v>
      </c>
      <c r="G11">
        <v>10</v>
      </c>
      <c r="H11">
        <v>2500</v>
      </c>
      <c r="I11" s="3">
        <v>165000</v>
      </c>
      <c r="J11" s="2">
        <f t="shared" si="0"/>
        <v>30000</v>
      </c>
      <c r="K11" s="2">
        <f t="shared" si="1"/>
        <v>550</v>
      </c>
      <c r="M11" t="s">
        <v>32</v>
      </c>
      <c r="N11" s="3">
        <v>3135000</v>
      </c>
      <c r="O11" s="5">
        <v>-0.38709677419354838</v>
      </c>
    </row>
    <row r="12" spans="1:18">
      <c r="A12">
        <v>1009</v>
      </c>
      <c r="B12" s="1">
        <v>46243</v>
      </c>
      <c r="C12" s="1" t="str">
        <f>TEXT(B12,"mmmm")</f>
        <v>August</v>
      </c>
      <c r="D12" t="s">
        <v>15</v>
      </c>
      <c r="E12" t="s">
        <v>23</v>
      </c>
      <c r="F12" t="s">
        <v>24</v>
      </c>
      <c r="G12">
        <v>4</v>
      </c>
      <c r="H12">
        <v>55000</v>
      </c>
      <c r="I12" s="3">
        <v>165000</v>
      </c>
      <c r="J12" s="2">
        <f t="shared" si="0"/>
        <v>200000</v>
      </c>
      <c r="K12" s="2">
        <f t="shared" si="1"/>
        <v>82.5</v>
      </c>
      <c r="M12" t="s">
        <v>27</v>
      </c>
      <c r="N12" s="3">
        <v>8250000</v>
      </c>
      <c r="O12" s="5"/>
    </row>
    <row r="13" spans="1:18">
      <c r="A13">
        <v>1010</v>
      </c>
      <c r="B13" s="1">
        <v>46244</v>
      </c>
      <c r="C13" s="1" t="str">
        <f>TEXT(B13,"mmmm")</f>
        <v>August</v>
      </c>
      <c r="D13" t="s">
        <v>19</v>
      </c>
      <c r="E13" t="s">
        <v>25</v>
      </c>
      <c r="F13" t="s">
        <v>17</v>
      </c>
      <c r="G13">
        <v>3</v>
      </c>
      <c r="H13">
        <v>22000</v>
      </c>
      <c r="I13" s="3">
        <v>165000</v>
      </c>
      <c r="J13" s="2">
        <f t="shared" si="0"/>
        <v>150000</v>
      </c>
      <c r="K13" s="2">
        <f t="shared" si="1"/>
        <v>110.00000000000001</v>
      </c>
    </row>
    <row r="14" spans="1:18">
      <c r="A14">
        <v>1011</v>
      </c>
      <c r="B14" s="1">
        <v>46245</v>
      </c>
      <c r="C14" s="1" t="str">
        <f>TEXT(B14,"mmmm")</f>
        <v>August</v>
      </c>
      <c r="D14" t="s">
        <v>22</v>
      </c>
      <c r="E14" t="s">
        <v>16</v>
      </c>
      <c r="F14" t="s">
        <v>26</v>
      </c>
      <c r="G14">
        <v>5</v>
      </c>
      <c r="H14">
        <v>18000</v>
      </c>
      <c r="I14" s="3">
        <v>165000</v>
      </c>
      <c r="J14" s="2">
        <f t="shared" si="0"/>
        <v>100000</v>
      </c>
      <c r="K14" s="2">
        <f t="shared" si="1"/>
        <v>165</v>
      </c>
    </row>
    <row r="15" spans="1:18">
      <c r="A15">
        <v>1012</v>
      </c>
      <c r="B15" s="1">
        <v>46246</v>
      </c>
      <c r="C15" s="1" t="str">
        <f>TEXT(B15,"mmmm")</f>
        <v>August</v>
      </c>
      <c r="D15" t="s">
        <v>18</v>
      </c>
      <c r="E15" t="s">
        <v>20</v>
      </c>
      <c r="F15" t="s">
        <v>21</v>
      </c>
      <c r="G15">
        <v>12</v>
      </c>
      <c r="H15">
        <v>2500</v>
      </c>
      <c r="I15" s="3">
        <v>165000</v>
      </c>
      <c r="J15" s="2">
        <f t="shared" si="0"/>
        <v>30000</v>
      </c>
      <c r="K15" s="2">
        <f t="shared" si="1"/>
        <v>550</v>
      </c>
    </row>
    <row r="16" spans="1:18">
      <c r="A16">
        <v>1013</v>
      </c>
      <c r="B16" s="1">
        <v>46247</v>
      </c>
      <c r="C16" s="1" t="str">
        <f>TEXT(B16,"mmmm")</f>
        <v>August</v>
      </c>
      <c r="D16" t="s">
        <v>15</v>
      </c>
      <c r="E16" t="s">
        <v>25</v>
      </c>
      <c r="F16" t="s">
        <v>21</v>
      </c>
      <c r="G16">
        <v>2</v>
      </c>
      <c r="H16">
        <v>55000</v>
      </c>
      <c r="I16" s="3">
        <v>165000</v>
      </c>
      <c r="J16" s="2">
        <f t="shared" si="0"/>
        <v>200000</v>
      </c>
      <c r="K16" s="2">
        <f t="shared" si="1"/>
        <v>82.5</v>
      </c>
    </row>
    <row r="17" spans="1:11">
      <c r="A17">
        <v>1014</v>
      </c>
      <c r="B17" s="1">
        <v>46248</v>
      </c>
      <c r="C17" s="1" t="str">
        <f>TEXT(B17,"mmmm")</f>
        <v>August</v>
      </c>
      <c r="D17" t="s">
        <v>19</v>
      </c>
      <c r="E17" t="s">
        <v>23</v>
      </c>
      <c r="F17" t="s">
        <v>26</v>
      </c>
      <c r="G17">
        <v>6</v>
      </c>
      <c r="H17">
        <v>22000</v>
      </c>
      <c r="I17" s="3">
        <v>165000</v>
      </c>
      <c r="J17" s="2">
        <f t="shared" si="0"/>
        <v>150000</v>
      </c>
      <c r="K17" s="2">
        <f t="shared" si="1"/>
        <v>110.00000000000001</v>
      </c>
    </row>
    <row r="18" spans="1:11">
      <c r="A18">
        <v>1015</v>
      </c>
      <c r="B18" s="1">
        <v>46249</v>
      </c>
      <c r="C18" s="1" t="str">
        <f>TEXT(B18,"mmmm")</f>
        <v>August</v>
      </c>
      <c r="D18" t="s">
        <v>22</v>
      </c>
      <c r="E18" t="s">
        <v>20</v>
      </c>
      <c r="F18" t="s">
        <v>17</v>
      </c>
      <c r="G18">
        <v>7</v>
      </c>
      <c r="H18">
        <v>18000</v>
      </c>
      <c r="I18" s="3">
        <v>165000</v>
      </c>
      <c r="J18" s="2">
        <f t="shared" si="0"/>
        <v>100000</v>
      </c>
      <c r="K18" s="2">
        <f t="shared" si="1"/>
        <v>165</v>
      </c>
    </row>
    <row r="19" spans="1:11">
      <c r="A19">
        <v>1016</v>
      </c>
      <c r="B19" s="1">
        <v>46250</v>
      </c>
      <c r="C19" s="1" t="str">
        <f>TEXT(B19,"mmmm")</f>
        <v>August</v>
      </c>
      <c r="D19" t="s">
        <v>18</v>
      </c>
      <c r="E19" t="s">
        <v>16</v>
      </c>
      <c r="F19" t="s">
        <v>24</v>
      </c>
      <c r="G19">
        <v>9</v>
      </c>
      <c r="H19">
        <v>2500</v>
      </c>
      <c r="I19" s="3">
        <v>165000</v>
      </c>
      <c r="J19" s="2">
        <f t="shared" si="0"/>
        <v>30000</v>
      </c>
      <c r="K19" s="2">
        <f t="shared" si="1"/>
        <v>550</v>
      </c>
    </row>
    <row r="20" spans="1:11">
      <c r="A20">
        <v>1017</v>
      </c>
      <c r="B20" s="1">
        <v>46251</v>
      </c>
      <c r="C20" s="1" t="str">
        <f>TEXT(B20,"mmmm")</f>
        <v>August</v>
      </c>
      <c r="D20" t="s">
        <v>15</v>
      </c>
      <c r="E20" t="s">
        <v>16</v>
      </c>
      <c r="F20" t="s">
        <v>26</v>
      </c>
      <c r="G20">
        <v>5</v>
      </c>
      <c r="H20">
        <v>55000</v>
      </c>
      <c r="I20" s="3">
        <v>165000</v>
      </c>
      <c r="J20" s="2">
        <f t="shared" si="0"/>
        <v>200000</v>
      </c>
      <c r="K20" s="2">
        <f t="shared" si="1"/>
        <v>82.5</v>
      </c>
    </row>
    <row r="21" spans="1:11">
      <c r="A21">
        <v>1018</v>
      </c>
      <c r="B21" s="1">
        <v>46252</v>
      </c>
      <c r="C21" s="1" t="str">
        <f>TEXT(B21,"mmmm")</f>
        <v>August</v>
      </c>
      <c r="D21" t="s">
        <v>19</v>
      </c>
      <c r="E21" t="s">
        <v>20</v>
      </c>
      <c r="F21" t="s">
        <v>24</v>
      </c>
      <c r="G21">
        <v>4</v>
      </c>
      <c r="H21">
        <v>22000</v>
      </c>
      <c r="I21" s="3">
        <v>165000</v>
      </c>
      <c r="J21" s="2">
        <f t="shared" si="0"/>
        <v>150000</v>
      </c>
      <c r="K21" s="2">
        <f t="shared" si="1"/>
        <v>110.00000000000001</v>
      </c>
    </row>
    <row r="22" spans="1:11">
      <c r="A22">
        <v>1019</v>
      </c>
      <c r="B22" s="1">
        <v>46253</v>
      </c>
      <c r="C22" s="1" t="str">
        <f>TEXT(B22,"mmmm")</f>
        <v>August</v>
      </c>
      <c r="D22" t="s">
        <v>22</v>
      </c>
      <c r="E22" t="s">
        <v>23</v>
      </c>
      <c r="F22" t="s">
        <v>17</v>
      </c>
      <c r="G22">
        <v>8</v>
      </c>
      <c r="H22">
        <v>18000</v>
      </c>
      <c r="I22" s="3">
        <v>165000</v>
      </c>
      <c r="J22" s="2">
        <f t="shared" si="0"/>
        <v>100000</v>
      </c>
      <c r="K22" s="2">
        <f t="shared" si="1"/>
        <v>165</v>
      </c>
    </row>
    <row r="23" spans="1:11">
      <c r="A23">
        <v>1020</v>
      </c>
      <c r="B23" s="1">
        <v>46254</v>
      </c>
      <c r="C23" s="1" t="str">
        <f>TEXT(B23,"mmmm")</f>
        <v>August</v>
      </c>
      <c r="D23" t="s">
        <v>18</v>
      </c>
      <c r="E23" t="s">
        <v>25</v>
      </c>
      <c r="F23" t="s">
        <v>21</v>
      </c>
      <c r="G23">
        <v>15</v>
      </c>
      <c r="H23">
        <v>2500</v>
      </c>
      <c r="I23" s="3">
        <v>165000</v>
      </c>
      <c r="J23" s="2">
        <f t="shared" si="0"/>
        <v>30000</v>
      </c>
      <c r="K23" s="2">
        <f t="shared" si="1"/>
        <v>550</v>
      </c>
    </row>
    <row r="24" spans="1:11">
      <c r="A24">
        <v>1021</v>
      </c>
      <c r="B24" s="1">
        <v>46255</v>
      </c>
      <c r="C24" s="1" t="str">
        <f>TEXT(B24,"mmmm")</f>
        <v>August</v>
      </c>
      <c r="D24" t="s">
        <v>15</v>
      </c>
      <c r="E24" t="s">
        <v>20</v>
      </c>
      <c r="F24" t="s">
        <v>24</v>
      </c>
      <c r="G24">
        <v>3</v>
      </c>
      <c r="H24">
        <v>55000</v>
      </c>
      <c r="I24" s="3">
        <v>165000</v>
      </c>
      <c r="J24" s="2">
        <f t="shared" si="0"/>
        <v>200000</v>
      </c>
      <c r="K24" s="2">
        <f t="shared" si="1"/>
        <v>82.5</v>
      </c>
    </row>
    <row r="25" spans="1:11">
      <c r="A25">
        <v>1022</v>
      </c>
      <c r="B25" s="1">
        <v>46256</v>
      </c>
      <c r="C25" s="1" t="str">
        <f>TEXT(B25,"mmmm")</f>
        <v>August</v>
      </c>
      <c r="D25" t="s">
        <v>19</v>
      </c>
      <c r="E25" t="s">
        <v>16</v>
      </c>
      <c r="F25" t="s">
        <v>21</v>
      </c>
      <c r="G25">
        <v>8</v>
      </c>
      <c r="H25">
        <v>22000</v>
      </c>
      <c r="I25" s="3">
        <v>165000</v>
      </c>
      <c r="J25" s="2">
        <f t="shared" si="0"/>
        <v>150000</v>
      </c>
      <c r="K25" s="2">
        <f t="shared" si="1"/>
        <v>110.00000000000001</v>
      </c>
    </row>
    <row r="26" spans="1:11">
      <c r="A26">
        <v>1023</v>
      </c>
      <c r="B26" s="1">
        <v>46257</v>
      </c>
      <c r="C26" s="1" t="str">
        <f>TEXT(B26,"mmmm")</f>
        <v>August</v>
      </c>
      <c r="D26" t="s">
        <v>22</v>
      </c>
      <c r="E26" t="s">
        <v>25</v>
      </c>
      <c r="F26" t="s">
        <v>26</v>
      </c>
      <c r="G26">
        <v>4</v>
      </c>
      <c r="H26">
        <v>18000</v>
      </c>
      <c r="I26" s="3">
        <v>165000</v>
      </c>
      <c r="J26" s="2">
        <f t="shared" si="0"/>
        <v>100000</v>
      </c>
      <c r="K26" s="2">
        <f t="shared" si="1"/>
        <v>165</v>
      </c>
    </row>
    <row r="27" spans="1:11">
      <c r="A27">
        <v>1024</v>
      </c>
      <c r="B27" s="1">
        <v>46258</v>
      </c>
      <c r="C27" s="1" t="str">
        <f>TEXT(B27,"mmmm")</f>
        <v>August</v>
      </c>
      <c r="D27" t="s">
        <v>18</v>
      </c>
      <c r="E27" t="s">
        <v>23</v>
      </c>
      <c r="F27" t="s">
        <v>17</v>
      </c>
      <c r="G27">
        <v>11</v>
      </c>
      <c r="H27">
        <v>2500</v>
      </c>
      <c r="I27" s="3">
        <v>165000</v>
      </c>
      <c r="J27" s="2">
        <f t="shared" si="0"/>
        <v>30000</v>
      </c>
      <c r="K27" s="2">
        <f t="shared" si="1"/>
        <v>550</v>
      </c>
    </row>
    <row r="28" spans="1:11">
      <c r="A28">
        <v>1025</v>
      </c>
      <c r="B28" s="1">
        <v>46259</v>
      </c>
      <c r="C28" s="1" t="str">
        <f>TEXT(B28,"mmmm")</f>
        <v>August</v>
      </c>
      <c r="D28" t="s">
        <v>15</v>
      </c>
      <c r="E28" t="s">
        <v>23</v>
      </c>
      <c r="F28" t="s">
        <v>21</v>
      </c>
      <c r="G28">
        <v>2</v>
      </c>
      <c r="H28">
        <v>55000</v>
      </c>
      <c r="I28" s="3">
        <v>165000</v>
      </c>
      <c r="J28" s="2">
        <f t="shared" si="0"/>
        <v>200000</v>
      </c>
      <c r="K28" s="2">
        <f t="shared" si="1"/>
        <v>82.5</v>
      </c>
    </row>
    <row r="29" spans="1:11">
      <c r="A29">
        <v>1026</v>
      </c>
      <c r="B29" s="1">
        <v>46260</v>
      </c>
      <c r="C29" s="1" t="str">
        <f>TEXT(B29,"mmmm")</f>
        <v>August</v>
      </c>
      <c r="D29" t="s">
        <v>19</v>
      </c>
      <c r="E29" t="s">
        <v>25</v>
      </c>
      <c r="F29" t="s">
        <v>24</v>
      </c>
      <c r="G29">
        <v>5</v>
      </c>
      <c r="H29">
        <v>22000</v>
      </c>
      <c r="I29" s="3">
        <v>165000</v>
      </c>
      <c r="J29" s="2">
        <f t="shared" si="0"/>
        <v>150000</v>
      </c>
      <c r="K29" s="2">
        <f t="shared" si="1"/>
        <v>110.00000000000001</v>
      </c>
    </row>
    <row r="30" spans="1:11">
      <c r="A30">
        <v>1027</v>
      </c>
      <c r="B30" s="1">
        <v>46261</v>
      </c>
      <c r="C30" s="1" t="str">
        <f>TEXT(B30,"mmmm")</f>
        <v>August</v>
      </c>
      <c r="D30" t="s">
        <v>22</v>
      </c>
      <c r="E30" t="s">
        <v>16</v>
      </c>
      <c r="F30" t="s">
        <v>17</v>
      </c>
      <c r="G30">
        <v>6</v>
      </c>
      <c r="H30">
        <v>18000</v>
      </c>
      <c r="I30" s="3">
        <v>165000</v>
      </c>
      <c r="J30" s="2">
        <f t="shared" si="0"/>
        <v>100000</v>
      </c>
      <c r="K30" s="2">
        <f t="shared" si="1"/>
        <v>165</v>
      </c>
    </row>
    <row r="31" spans="1:11">
      <c r="A31">
        <v>1028</v>
      </c>
      <c r="B31" s="1">
        <v>46262</v>
      </c>
      <c r="C31" s="1" t="str">
        <f>TEXT(B31,"mmmm")</f>
        <v>August</v>
      </c>
      <c r="D31" t="s">
        <v>18</v>
      </c>
      <c r="E31" t="s">
        <v>20</v>
      </c>
      <c r="F31" t="s">
        <v>26</v>
      </c>
      <c r="G31">
        <v>14</v>
      </c>
      <c r="H31">
        <v>2500</v>
      </c>
      <c r="I31" s="3">
        <v>165000</v>
      </c>
      <c r="J31" s="2">
        <f t="shared" si="0"/>
        <v>30000</v>
      </c>
      <c r="K31" s="2">
        <f t="shared" si="1"/>
        <v>550</v>
      </c>
    </row>
    <row r="32" spans="1:11">
      <c r="A32">
        <v>1029</v>
      </c>
      <c r="B32" s="1">
        <v>46263</v>
      </c>
      <c r="C32" s="1" t="str">
        <f>TEXT(B32,"mmmm")</f>
        <v>August</v>
      </c>
      <c r="D32" t="s">
        <v>15</v>
      </c>
      <c r="E32" t="s">
        <v>25</v>
      </c>
      <c r="F32" t="s">
        <v>26</v>
      </c>
      <c r="G32">
        <v>4</v>
      </c>
      <c r="H32">
        <v>55000</v>
      </c>
      <c r="I32" s="3">
        <v>165000</v>
      </c>
      <c r="J32" s="2">
        <f t="shared" si="0"/>
        <v>200000</v>
      </c>
      <c r="K32" s="2">
        <f t="shared" si="1"/>
        <v>82.5</v>
      </c>
    </row>
    <row r="33" spans="1:11">
      <c r="A33">
        <v>1030</v>
      </c>
      <c r="B33" s="1">
        <v>46264</v>
      </c>
      <c r="C33" s="1" t="str">
        <f>TEXT(B33,"mmmm")</f>
        <v>August</v>
      </c>
      <c r="D33" t="s">
        <v>19</v>
      </c>
      <c r="E33" t="s">
        <v>23</v>
      </c>
      <c r="F33" t="s">
        <v>17</v>
      </c>
      <c r="G33">
        <v>7</v>
      </c>
      <c r="H33">
        <v>22000</v>
      </c>
      <c r="I33" s="3">
        <v>165000</v>
      </c>
      <c r="J33" s="2">
        <f t="shared" si="0"/>
        <v>150000</v>
      </c>
      <c r="K33" s="2">
        <f t="shared" si="1"/>
        <v>110.00000000000001</v>
      </c>
    </row>
    <row r="34" spans="1:11">
      <c r="A34">
        <v>1031</v>
      </c>
      <c r="B34" s="1">
        <v>46265</v>
      </c>
      <c r="C34" s="1" t="str">
        <f>TEXT(B34,"mmmm")</f>
        <v>August</v>
      </c>
      <c r="D34" t="s">
        <v>22</v>
      </c>
      <c r="E34" t="s">
        <v>20</v>
      </c>
      <c r="F34" t="s">
        <v>21</v>
      </c>
      <c r="G34">
        <v>5</v>
      </c>
      <c r="H34">
        <v>18000</v>
      </c>
      <c r="I34" s="3">
        <v>165000</v>
      </c>
      <c r="J34" s="2">
        <f t="shared" si="0"/>
        <v>100000</v>
      </c>
      <c r="K34" s="2">
        <f t="shared" si="1"/>
        <v>165</v>
      </c>
    </row>
    <row r="35" spans="1:11">
      <c r="A35">
        <v>1032</v>
      </c>
      <c r="B35" s="1">
        <v>46266</v>
      </c>
      <c r="C35" s="1" t="str">
        <f>TEXT(B35,"mmmm")</f>
        <v>September</v>
      </c>
      <c r="D35" t="s">
        <v>18</v>
      </c>
      <c r="E35" t="s">
        <v>16</v>
      </c>
      <c r="F35" t="s">
        <v>24</v>
      </c>
      <c r="G35">
        <v>13</v>
      </c>
      <c r="H35">
        <v>2500</v>
      </c>
      <c r="I35" s="3">
        <v>165000</v>
      </c>
      <c r="J35" s="2">
        <f t="shared" si="0"/>
        <v>30000</v>
      </c>
      <c r="K35" s="2">
        <f t="shared" si="1"/>
        <v>550</v>
      </c>
    </row>
    <row r="36" spans="1:11">
      <c r="A36">
        <v>1033</v>
      </c>
      <c r="B36" s="1">
        <v>46267</v>
      </c>
      <c r="C36" s="1" t="str">
        <f>TEXT(B36,"mmmm")</f>
        <v>September</v>
      </c>
      <c r="D36" t="s">
        <v>15</v>
      </c>
      <c r="E36" t="s">
        <v>16</v>
      </c>
      <c r="F36" t="s">
        <v>21</v>
      </c>
      <c r="G36">
        <v>3</v>
      </c>
      <c r="H36">
        <v>55000</v>
      </c>
      <c r="I36" s="3">
        <v>165000</v>
      </c>
      <c r="J36" s="2">
        <f t="shared" si="0"/>
        <v>200000</v>
      </c>
      <c r="K36" s="2">
        <f t="shared" si="1"/>
        <v>82.5</v>
      </c>
    </row>
    <row r="37" spans="1:11">
      <c r="A37">
        <v>1034</v>
      </c>
      <c r="B37" s="1">
        <v>46268</v>
      </c>
      <c r="C37" s="1" t="str">
        <f>TEXT(B37,"mmmm")</f>
        <v>September</v>
      </c>
      <c r="D37" t="s">
        <v>19</v>
      </c>
      <c r="E37" t="s">
        <v>20</v>
      </c>
      <c r="F37" t="s">
        <v>26</v>
      </c>
      <c r="G37">
        <v>6</v>
      </c>
      <c r="H37">
        <v>22000</v>
      </c>
      <c r="I37" s="3">
        <v>165000</v>
      </c>
      <c r="J37" s="2">
        <f t="shared" si="0"/>
        <v>150000</v>
      </c>
      <c r="K37" s="2">
        <f t="shared" si="1"/>
        <v>110.00000000000001</v>
      </c>
    </row>
    <row r="38" spans="1:11">
      <c r="A38">
        <v>1035</v>
      </c>
      <c r="B38" s="1">
        <v>46269</v>
      </c>
      <c r="C38" s="1" t="str">
        <f>TEXT(B38,"mmmm")</f>
        <v>September</v>
      </c>
      <c r="D38" t="s">
        <v>22</v>
      </c>
      <c r="E38" t="s">
        <v>23</v>
      </c>
      <c r="F38" t="s">
        <v>24</v>
      </c>
      <c r="G38">
        <v>9</v>
      </c>
      <c r="H38">
        <v>18000</v>
      </c>
      <c r="I38" s="3">
        <v>165000</v>
      </c>
      <c r="J38" s="2">
        <f t="shared" si="0"/>
        <v>100000</v>
      </c>
      <c r="K38" s="2">
        <f t="shared" si="1"/>
        <v>165</v>
      </c>
    </row>
    <row r="39" spans="1:11">
      <c r="A39">
        <v>1036</v>
      </c>
      <c r="B39" s="1">
        <v>46270</v>
      </c>
      <c r="C39" s="1" t="str">
        <f>TEXT(B39,"mmmm")</f>
        <v>September</v>
      </c>
      <c r="D39" t="s">
        <v>18</v>
      </c>
      <c r="E39" t="s">
        <v>25</v>
      </c>
      <c r="F39" t="s">
        <v>17</v>
      </c>
      <c r="G39">
        <v>16</v>
      </c>
      <c r="H39">
        <v>2500</v>
      </c>
      <c r="I39" s="3">
        <v>165000</v>
      </c>
      <c r="J39" s="2">
        <f t="shared" si="0"/>
        <v>30000</v>
      </c>
      <c r="K39" s="2">
        <f t="shared" si="1"/>
        <v>550</v>
      </c>
    </row>
    <row r="40" spans="1:11">
      <c r="A40">
        <v>1037</v>
      </c>
      <c r="B40" s="1">
        <v>46271</v>
      </c>
      <c r="C40" s="1" t="str">
        <f>TEXT(B40,"mmmm")</f>
        <v>September</v>
      </c>
      <c r="D40" t="s">
        <v>15</v>
      </c>
      <c r="E40" t="s">
        <v>20</v>
      </c>
      <c r="F40" t="s">
        <v>26</v>
      </c>
      <c r="G40">
        <v>2</v>
      </c>
      <c r="H40">
        <v>55000</v>
      </c>
      <c r="I40" s="3">
        <v>165000</v>
      </c>
      <c r="J40" s="2">
        <f t="shared" si="0"/>
        <v>200000</v>
      </c>
      <c r="K40" s="2">
        <f t="shared" si="1"/>
        <v>82.5</v>
      </c>
    </row>
    <row r="41" spans="1:11">
      <c r="A41">
        <v>1038</v>
      </c>
      <c r="B41" s="1">
        <v>46272</v>
      </c>
      <c r="C41" s="1" t="str">
        <f>TEXT(B41,"mmmm")</f>
        <v>September</v>
      </c>
      <c r="D41" t="s">
        <v>19</v>
      </c>
      <c r="E41" t="s">
        <v>16</v>
      </c>
      <c r="F41" t="s">
        <v>17</v>
      </c>
      <c r="G41">
        <v>9</v>
      </c>
      <c r="H41">
        <v>22000</v>
      </c>
      <c r="I41" s="3">
        <v>165000</v>
      </c>
      <c r="J41" s="2">
        <f t="shared" si="0"/>
        <v>150000</v>
      </c>
      <c r="K41" s="2">
        <f t="shared" si="1"/>
        <v>110.00000000000001</v>
      </c>
    </row>
    <row r="42" spans="1:11">
      <c r="A42">
        <v>1039</v>
      </c>
      <c r="B42" s="1">
        <v>46273</v>
      </c>
      <c r="C42" s="1" t="str">
        <f>TEXT(B42,"mmmm")</f>
        <v>September</v>
      </c>
      <c r="D42" t="s">
        <v>22</v>
      </c>
      <c r="E42" t="s">
        <v>25</v>
      </c>
      <c r="F42" t="s">
        <v>24</v>
      </c>
      <c r="G42">
        <v>6</v>
      </c>
      <c r="H42">
        <v>18000</v>
      </c>
      <c r="I42" s="3">
        <v>165000</v>
      </c>
      <c r="J42" s="2">
        <f t="shared" si="0"/>
        <v>100000</v>
      </c>
      <c r="K42" s="2">
        <f t="shared" si="1"/>
        <v>165</v>
      </c>
    </row>
    <row r="43" spans="1:11">
      <c r="A43">
        <v>1040</v>
      </c>
      <c r="B43" s="1">
        <v>46274</v>
      </c>
      <c r="C43" s="1" t="str">
        <f>TEXT(B43,"mmmm")</f>
        <v>September</v>
      </c>
      <c r="D43" t="s">
        <v>18</v>
      </c>
      <c r="E43" t="s">
        <v>23</v>
      </c>
      <c r="F43" t="s">
        <v>21</v>
      </c>
      <c r="G43">
        <v>12</v>
      </c>
      <c r="H43">
        <v>2500</v>
      </c>
      <c r="I43" s="3">
        <v>165000</v>
      </c>
      <c r="J43" s="2">
        <f t="shared" si="0"/>
        <v>30000</v>
      </c>
      <c r="K43" s="2">
        <f t="shared" si="1"/>
        <v>550</v>
      </c>
    </row>
    <row r="44" spans="1:11">
      <c r="A44">
        <v>1041</v>
      </c>
      <c r="B44" s="1">
        <v>46275</v>
      </c>
      <c r="C44" s="1" t="str">
        <f>TEXT(B44,"mmmm")</f>
        <v>September</v>
      </c>
      <c r="D44" t="s">
        <v>15</v>
      </c>
      <c r="E44" t="s">
        <v>23</v>
      </c>
      <c r="F44" t="s">
        <v>17</v>
      </c>
      <c r="G44">
        <v>5</v>
      </c>
      <c r="H44">
        <v>55000</v>
      </c>
      <c r="I44" s="3">
        <v>165000</v>
      </c>
      <c r="J44" s="2">
        <f t="shared" si="0"/>
        <v>200000</v>
      </c>
      <c r="K44" s="2">
        <f t="shared" si="1"/>
        <v>82.5</v>
      </c>
    </row>
    <row r="45" spans="1:11">
      <c r="A45">
        <v>1042</v>
      </c>
      <c r="B45" s="1">
        <v>46276</v>
      </c>
      <c r="C45" s="1" t="str">
        <f>TEXT(B45,"mmmm")</f>
        <v>September</v>
      </c>
      <c r="D45" t="s">
        <v>19</v>
      </c>
      <c r="E45" t="s">
        <v>25</v>
      </c>
      <c r="F45" t="s">
        <v>21</v>
      </c>
      <c r="G45">
        <v>4</v>
      </c>
      <c r="H45">
        <v>22000</v>
      </c>
      <c r="I45" s="3">
        <v>165000</v>
      </c>
      <c r="J45" s="2">
        <f t="shared" si="0"/>
        <v>150000</v>
      </c>
      <c r="K45" s="2">
        <f t="shared" si="1"/>
        <v>110.00000000000001</v>
      </c>
    </row>
    <row r="46" spans="1:11">
      <c r="A46">
        <v>1043</v>
      </c>
      <c r="B46" s="1">
        <v>46277</v>
      </c>
      <c r="C46" s="1" t="str">
        <f>TEXT(B46,"mmmm")</f>
        <v>September</v>
      </c>
      <c r="D46" t="s">
        <v>22</v>
      </c>
      <c r="E46" t="s">
        <v>16</v>
      </c>
      <c r="F46" t="s">
        <v>26</v>
      </c>
      <c r="G46">
        <v>7</v>
      </c>
      <c r="H46">
        <v>18000</v>
      </c>
      <c r="I46" s="3">
        <v>165000</v>
      </c>
      <c r="J46" s="2">
        <f t="shared" si="0"/>
        <v>100000</v>
      </c>
      <c r="K46" s="2">
        <f t="shared" si="1"/>
        <v>165</v>
      </c>
    </row>
    <row r="47" spans="1:11">
      <c r="A47">
        <v>1044</v>
      </c>
      <c r="B47" s="1">
        <v>46278</v>
      </c>
      <c r="C47" s="1" t="str">
        <f>TEXT(B47,"mmmm")</f>
        <v>September</v>
      </c>
      <c r="D47" t="s">
        <v>18</v>
      </c>
      <c r="E47" t="s">
        <v>20</v>
      </c>
      <c r="F47" t="s">
        <v>24</v>
      </c>
      <c r="G47">
        <v>18</v>
      </c>
      <c r="H47">
        <v>2500</v>
      </c>
      <c r="I47" s="3">
        <v>165000</v>
      </c>
      <c r="J47" s="2">
        <f t="shared" si="0"/>
        <v>30000</v>
      </c>
      <c r="K47" s="2">
        <f t="shared" si="1"/>
        <v>550</v>
      </c>
    </row>
    <row r="48" spans="1:11">
      <c r="A48">
        <v>1045</v>
      </c>
      <c r="B48" s="1">
        <v>46279</v>
      </c>
      <c r="C48" s="1" t="str">
        <f>TEXT(B48,"mmmm")</f>
        <v>September</v>
      </c>
      <c r="D48" t="s">
        <v>15</v>
      </c>
      <c r="E48" t="s">
        <v>25</v>
      </c>
      <c r="F48" t="s">
        <v>24</v>
      </c>
      <c r="G48">
        <v>3</v>
      </c>
      <c r="H48">
        <v>55000</v>
      </c>
      <c r="I48" s="3">
        <v>165000</v>
      </c>
      <c r="J48" s="2">
        <f t="shared" si="0"/>
        <v>200000</v>
      </c>
      <c r="K48" s="2">
        <f t="shared" si="1"/>
        <v>82.5</v>
      </c>
    </row>
    <row r="49" spans="1:11">
      <c r="A49">
        <v>1046</v>
      </c>
      <c r="B49" s="1">
        <v>46280</v>
      </c>
      <c r="C49" s="1" t="str">
        <f>TEXT(B49,"mmmm")</f>
        <v>September</v>
      </c>
      <c r="D49" t="s">
        <v>19</v>
      </c>
      <c r="E49" t="s">
        <v>23</v>
      </c>
      <c r="F49" t="s">
        <v>26</v>
      </c>
      <c r="G49">
        <v>8</v>
      </c>
      <c r="H49">
        <v>22000</v>
      </c>
      <c r="I49" s="3">
        <v>165000</v>
      </c>
      <c r="J49" s="2">
        <f t="shared" si="0"/>
        <v>150000</v>
      </c>
      <c r="K49" s="2">
        <f t="shared" si="1"/>
        <v>110.00000000000001</v>
      </c>
    </row>
    <row r="50" spans="1:11">
      <c r="A50">
        <v>1047</v>
      </c>
      <c r="B50" s="1">
        <v>46281</v>
      </c>
      <c r="C50" s="1" t="str">
        <f>TEXT(B50,"mmmm")</f>
        <v>September</v>
      </c>
      <c r="D50" t="s">
        <v>22</v>
      </c>
      <c r="E50" t="s">
        <v>20</v>
      </c>
      <c r="F50" t="s">
        <v>17</v>
      </c>
      <c r="G50">
        <v>6</v>
      </c>
      <c r="H50">
        <v>18000</v>
      </c>
      <c r="I50" s="3">
        <v>165000</v>
      </c>
      <c r="J50" s="2">
        <f t="shared" si="0"/>
        <v>100000</v>
      </c>
      <c r="K50" s="2">
        <f t="shared" si="1"/>
        <v>165</v>
      </c>
    </row>
    <row r="51" spans="1:11">
      <c r="A51">
        <v>1048</v>
      </c>
      <c r="B51" s="1">
        <v>46282</v>
      </c>
      <c r="C51" s="1" t="str">
        <f>TEXT(B51,"mmmm")</f>
        <v>September</v>
      </c>
      <c r="D51" t="s">
        <v>18</v>
      </c>
      <c r="E51" t="s">
        <v>16</v>
      </c>
      <c r="F51" t="s">
        <v>21</v>
      </c>
      <c r="G51">
        <v>10</v>
      </c>
      <c r="H51">
        <v>2500</v>
      </c>
      <c r="I51" s="3">
        <v>165000</v>
      </c>
      <c r="J51" s="2">
        <f t="shared" si="0"/>
        <v>30000</v>
      </c>
      <c r="K51" s="2">
        <f t="shared" si="1"/>
        <v>550</v>
      </c>
    </row>
    <row r="52" spans="1:11">
      <c r="A52">
        <v>1049</v>
      </c>
      <c r="B52" s="1">
        <v>46283</v>
      </c>
      <c r="C52" s="1" t="str">
        <f>TEXT(B52,"mmmm")</f>
        <v>September</v>
      </c>
      <c r="D52" t="s">
        <v>15</v>
      </c>
      <c r="E52" t="s">
        <v>16</v>
      </c>
      <c r="F52" t="s">
        <v>24</v>
      </c>
      <c r="G52">
        <v>4</v>
      </c>
      <c r="H52">
        <v>55000</v>
      </c>
      <c r="I52" s="3">
        <v>165000</v>
      </c>
      <c r="J52" s="2">
        <f t="shared" si="0"/>
        <v>200000</v>
      </c>
      <c r="K52" s="2">
        <f t="shared" si="1"/>
        <v>82.5</v>
      </c>
    </row>
    <row r="53" spans="1:11">
      <c r="A53">
        <v>1050</v>
      </c>
      <c r="B53" s="1">
        <v>46284</v>
      </c>
      <c r="C53" s="1" t="str">
        <f>TEXT(B53,"mmmm")</f>
        <v>September</v>
      </c>
      <c r="D53" t="s">
        <v>19</v>
      </c>
      <c r="E53" t="s">
        <v>20</v>
      </c>
      <c r="F53" t="s">
        <v>17</v>
      </c>
      <c r="G53">
        <v>7</v>
      </c>
      <c r="H53">
        <v>22000</v>
      </c>
      <c r="I53" s="3">
        <v>165000</v>
      </c>
      <c r="J53" s="2">
        <f t="shared" si="0"/>
        <v>150000</v>
      </c>
      <c r="K53" s="2">
        <f t="shared" si="1"/>
        <v>110.00000000000001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89EC-3EEE-44C3-8504-AF6E9863E202}">
  <dimension ref="A1:AC53"/>
  <sheetViews>
    <sheetView topLeftCell="A36" workbookViewId="0">
      <selection activeCell="A3" sqref="A3:L53"/>
    </sheetView>
  </sheetViews>
  <sheetFormatPr defaultRowHeight="15"/>
  <cols>
    <col min="1" max="12" width="9.28515625" customWidth="1"/>
    <col min="14" max="14" width="12.85546875" bestFit="1" customWidth="1"/>
    <col min="15" max="15" width="20.42578125" bestFit="1" customWidth="1"/>
    <col min="16" max="18" width="11.42578125" bestFit="1" customWidth="1"/>
    <col min="19" max="19" width="17" bestFit="1" customWidth="1"/>
    <col min="20" max="20" width="7.28515625" bestFit="1" customWidth="1"/>
    <col min="21" max="21" width="7.42578125" bestFit="1" customWidth="1"/>
    <col min="22" max="22" width="6.7109375" bestFit="1" customWidth="1"/>
    <col min="23" max="23" width="25" bestFit="1" customWidth="1"/>
    <col min="24" max="26" width="9.7109375" bestFit="1" customWidth="1"/>
    <col min="27" max="27" width="25.7109375" bestFit="1" customWidth="1"/>
    <col min="28" max="28" width="22.28515625" bestFit="1" customWidth="1"/>
    <col min="29" max="29" width="30.28515625" bestFit="1" customWidth="1"/>
  </cols>
  <sheetData>
    <row r="1" spans="1:29" ht="18.75">
      <c r="A1" s="9" t="s">
        <v>34</v>
      </c>
      <c r="B1" s="10"/>
      <c r="C1" s="10"/>
      <c r="D1" s="10"/>
      <c r="E1" s="10"/>
      <c r="F1" s="10"/>
      <c r="G1" s="10"/>
      <c r="H1" s="11"/>
      <c r="N1" s="4" t="s">
        <v>5</v>
      </c>
      <c r="O1" t="s">
        <v>35</v>
      </c>
    </row>
    <row r="3" spans="1:29">
      <c r="A3" t="s">
        <v>1</v>
      </c>
      <c r="B3" t="s">
        <v>36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O3" s="4" t="s">
        <v>37</v>
      </c>
      <c r="P3" s="4" t="s">
        <v>4</v>
      </c>
    </row>
    <row r="4" spans="1:29">
      <c r="A4">
        <v>1001</v>
      </c>
      <c r="B4" t="s">
        <v>38</v>
      </c>
      <c r="C4" s="1">
        <v>46235</v>
      </c>
      <c r="D4" s="1" t="str">
        <f>TEXT(C4,"mmmm")</f>
        <v>August</v>
      </c>
      <c r="E4" t="s">
        <v>15</v>
      </c>
      <c r="F4" t="s">
        <v>16</v>
      </c>
      <c r="G4" t="s">
        <v>17</v>
      </c>
      <c r="H4">
        <v>3</v>
      </c>
      <c r="I4">
        <v>55000</v>
      </c>
      <c r="J4" s="3">
        <v>165000</v>
      </c>
      <c r="K4" s="2">
        <f>IF(E4 = "Laptop",200000,IF( E4 = "Mobile",150000,IF(E4 = "Tablet",100000,IF(E4 = "Headphones",30000,""))))</f>
        <v>200000</v>
      </c>
      <c r="L4" s="2">
        <f>J4/K4*100</f>
        <v>82.5</v>
      </c>
      <c r="O4" t="s">
        <v>13</v>
      </c>
      <c r="S4" t="s">
        <v>39</v>
      </c>
      <c r="W4" t="s">
        <v>40</v>
      </c>
      <c r="AA4" t="s">
        <v>41</v>
      </c>
      <c r="AB4" t="s">
        <v>42</v>
      </c>
      <c r="AC4" t="s">
        <v>43</v>
      </c>
    </row>
    <row r="5" spans="1:29">
      <c r="A5">
        <v>1002</v>
      </c>
      <c r="B5" t="s">
        <v>44</v>
      </c>
      <c r="C5" s="1">
        <v>46236</v>
      </c>
      <c r="D5" s="1" t="str">
        <f>TEXT(C5,"mmmm")</f>
        <v>August</v>
      </c>
      <c r="E5" t="s">
        <v>19</v>
      </c>
      <c r="F5" t="s">
        <v>20</v>
      </c>
      <c r="G5" t="s">
        <v>21</v>
      </c>
      <c r="H5">
        <v>5</v>
      </c>
      <c r="I5">
        <v>22000</v>
      </c>
      <c r="J5" s="3">
        <v>165000</v>
      </c>
      <c r="K5" s="2">
        <f t="shared" ref="K5:K53" si="0">IF(E5 = "Laptop",200000,IF( E5 = "Mobile",150000,IF(E5 = "Tablet",100000,IF(E5 = "Headphones",30000,""))))</f>
        <v>150000</v>
      </c>
      <c r="L5" s="2">
        <f t="shared" ref="L5:L53" si="1">J5/K5*100</f>
        <v>110.00000000000001</v>
      </c>
      <c r="N5" s="4" t="s">
        <v>36</v>
      </c>
      <c r="O5" t="s">
        <v>18</v>
      </c>
      <c r="P5" t="s">
        <v>15</v>
      </c>
      <c r="Q5" t="s">
        <v>19</v>
      </c>
      <c r="R5" t="s">
        <v>22</v>
      </c>
      <c r="S5" t="s">
        <v>18</v>
      </c>
      <c r="T5" t="s">
        <v>15</v>
      </c>
      <c r="U5" t="s">
        <v>19</v>
      </c>
      <c r="V5" t="s">
        <v>22</v>
      </c>
      <c r="W5" t="s">
        <v>18</v>
      </c>
      <c r="X5" t="s">
        <v>15</v>
      </c>
      <c r="Y5" t="s">
        <v>19</v>
      </c>
      <c r="Z5" t="s">
        <v>22</v>
      </c>
    </row>
    <row r="6" spans="1:29">
      <c r="A6">
        <v>1003</v>
      </c>
      <c r="B6" t="s">
        <v>45</v>
      </c>
      <c r="C6" s="1">
        <v>46237</v>
      </c>
      <c r="D6" s="1" t="str">
        <f>TEXT(C6,"mmmm")</f>
        <v>August</v>
      </c>
      <c r="E6" t="s">
        <v>22</v>
      </c>
      <c r="F6" t="s">
        <v>23</v>
      </c>
      <c r="G6" t="s">
        <v>24</v>
      </c>
      <c r="H6">
        <v>4</v>
      </c>
      <c r="I6">
        <v>18000</v>
      </c>
      <c r="J6" s="3">
        <v>165000</v>
      </c>
      <c r="K6" s="2">
        <f t="shared" si="0"/>
        <v>100000</v>
      </c>
      <c r="L6" s="2">
        <f t="shared" si="1"/>
        <v>165</v>
      </c>
      <c r="N6" t="s">
        <v>17</v>
      </c>
      <c r="O6" s="3"/>
      <c r="P6" s="3">
        <v>495000</v>
      </c>
      <c r="Q6" s="3"/>
      <c r="R6" s="3">
        <v>330000</v>
      </c>
      <c r="S6" s="6"/>
      <c r="T6" s="6">
        <v>3</v>
      </c>
      <c r="U6" s="6"/>
      <c r="V6" s="6">
        <v>2</v>
      </c>
      <c r="W6" s="3"/>
      <c r="X6" s="3">
        <v>165000</v>
      </c>
      <c r="Y6" s="3"/>
      <c r="Z6" s="3">
        <v>165000</v>
      </c>
      <c r="AA6" s="3">
        <v>825000</v>
      </c>
      <c r="AB6" s="6">
        <v>5</v>
      </c>
      <c r="AC6" s="3">
        <v>165000</v>
      </c>
    </row>
    <row r="7" spans="1:29">
      <c r="A7">
        <v>1004</v>
      </c>
      <c r="B7" t="s">
        <v>46</v>
      </c>
      <c r="C7" s="1">
        <v>46238</v>
      </c>
      <c r="D7" s="1" t="str">
        <f>TEXT(C7,"mmmm")</f>
        <v>August</v>
      </c>
      <c r="E7" t="s">
        <v>18</v>
      </c>
      <c r="F7" t="s">
        <v>25</v>
      </c>
      <c r="G7" t="s">
        <v>26</v>
      </c>
      <c r="H7">
        <v>8</v>
      </c>
      <c r="I7">
        <v>2500</v>
      </c>
      <c r="J7" s="3">
        <v>165000</v>
      </c>
      <c r="K7" s="2">
        <f t="shared" si="0"/>
        <v>30000</v>
      </c>
      <c r="L7" s="2">
        <f t="shared" si="1"/>
        <v>550</v>
      </c>
      <c r="N7" t="s">
        <v>46</v>
      </c>
      <c r="O7" s="3">
        <v>495000</v>
      </c>
      <c r="P7" s="3"/>
      <c r="Q7" s="3">
        <v>330000</v>
      </c>
      <c r="R7" s="3"/>
      <c r="S7" s="6">
        <v>3</v>
      </c>
      <c r="T7" s="6"/>
      <c r="U7" s="6">
        <v>2</v>
      </c>
      <c r="V7" s="6"/>
      <c r="W7" s="3">
        <v>165000</v>
      </c>
      <c r="X7" s="3"/>
      <c r="Y7" s="3">
        <v>165000</v>
      </c>
      <c r="Z7" s="3"/>
      <c r="AA7" s="3">
        <v>825000</v>
      </c>
      <c r="AB7" s="6">
        <v>5</v>
      </c>
      <c r="AC7" s="3">
        <v>165000</v>
      </c>
    </row>
    <row r="8" spans="1:29">
      <c r="A8">
        <v>1005</v>
      </c>
      <c r="B8" t="s">
        <v>47</v>
      </c>
      <c r="C8" s="1">
        <v>46239</v>
      </c>
      <c r="D8" s="1" t="str">
        <f>TEXT(C8,"mmmm")</f>
        <v>August</v>
      </c>
      <c r="E8" t="s">
        <v>15</v>
      </c>
      <c r="F8" t="s">
        <v>20</v>
      </c>
      <c r="G8" t="s">
        <v>17</v>
      </c>
      <c r="H8">
        <v>2</v>
      </c>
      <c r="I8">
        <v>55000</v>
      </c>
      <c r="J8" s="3">
        <v>165000</v>
      </c>
      <c r="K8" s="2">
        <f t="shared" si="0"/>
        <v>200000</v>
      </c>
      <c r="L8" s="2">
        <f t="shared" si="1"/>
        <v>82.5</v>
      </c>
      <c r="N8" t="s">
        <v>26</v>
      </c>
      <c r="O8" s="3">
        <v>330000</v>
      </c>
      <c r="P8" s="3"/>
      <c r="Q8" s="3">
        <v>495000</v>
      </c>
      <c r="R8" s="3"/>
      <c r="S8" s="6">
        <v>2</v>
      </c>
      <c r="T8" s="6"/>
      <c r="U8" s="6">
        <v>3</v>
      </c>
      <c r="V8" s="6"/>
      <c r="W8" s="3">
        <v>165000</v>
      </c>
      <c r="X8" s="3"/>
      <c r="Y8" s="3">
        <v>165000</v>
      </c>
      <c r="Z8" s="3"/>
      <c r="AA8" s="3">
        <v>825000</v>
      </c>
      <c r="AB8" s="6">
        <v>5</v>
      </c>
      <c r="AC8" s="3">
        <v>165000</v>
      </c>
    </row>
    <row r="9" spans="1:29">
      <c r="A9">
        <v>1006</v>
      </c>
      <c r="B9" t="s">
        <v>26</v>
      </c>
      <c r="C9" s="1">
        <v>46240</v>
      </c>
      <c r="D9" s="1" t="str">
        <f>TEXT(C9,"mmmm")</f>
        <v>August</v>
      </c>
      <c r="E9" t="s">
        <v>19</v>
      </c>
      <c r="F9" t="s">
        <v>16</v>
      </c>
      <c r="G9" t="s">
        <v>24</v>
      </c>
      <c r="H9">
        <v>7</v>
      </c>
      <c r="I9">
        <v>22000</v>
      </c>
      <c r="J9" s="3">
        <v>165000</v>
      </c>
      <c r="K9" s="2">
        <f t="shared" si="0"/>
        <v>150000</v>
      </c>
      <c r="L9" s="2">
        <f t="shared" si="1"/>
        <v>110.00000000000001</v>
      </c>
      <c r="N9" t="s">
        <v>24</v>
      </c>
      <c r="O9" s="3">
        <v>330000</v>
      </c>
      <c r="P9" s="3"/>
      <c r="Q9" s="3">
        <v>495000</v>
      </c>
      <c r="R9" s="3"/>
      <c r="S9" s="6">
        <v>2</v>
      </c>
      <c r="T9" s="6"/>
      <c r="U9" s="6">
        <v>3</v>
      </c>
      <c r="V9" s="6"/>
      <c r="W9" s="3">
        <v>165000</v>
      </c>
      <c r="X9" s="3"/>
      <c r="Y9" s="3">
        <v>165000</v>
      </c>
      <c r="Z9" s="3"/>
      <c r="AA9" s="3">
        <v>825000</v>
      </c>
      <c r="AB9" s="6">
        <v>5</v>
      </c>
      <c r="AC9" s="3">
        <v>165000</v>
      </c>
    </row>
    <row r="10" spans="1:29">
      <c r="A10">
        <v>1007</v>
      </c>
      <c r="B10" t="s">
        <v>48</v>
      </c>
      <c r="C10" s="1">
        <v>46241</v>
      </c>
      <c r="D10" s="1" t="str">
        <f>TEXT(C10,"mmmm")</f>
        <v>August</v>
      </c>
      <c r="E10" t="s">
        <v>22</v>
      </c>
      <c r="F10" t="s">
        <v>25</v>
      </c>
      <c r="G10" t="s">
        <v>21</v>
      </c>
      <c r="H10">
        <v>6</v>
      </c>
      <c r="I10">
        <v>18000</v>
      </c>
      <c r="J10" s="3">
        <v>165000</v>
      </c>
      <c r="K10" s="2">
        <f t="shared" si="0"/>
        <v>100000</v>
      </c>
      <c r="L10" s="2">
        <f t="shared" si="1"/>
        <v>165</v>
      </c>
      <c r="N10" t="s">
        <v>21</v>
      </c>
      <c r="O10" s="3">
        <v>495000</v>
      </c>
      <c r="P10" s="3"/>
      <c r="Q10" s="3">
        <v>330000</v>
      </c>
      <c r="R10" s="3"/>
      <c r="S10" s="6">
        <v>3</v>
      </c>
      <c r="T10" s="6"/>
      <c r="U10" s="6">
        <v>2</v>
      </c>
      <c r="V10" s="6"/>
      <c r="W10" s="3">
        <v>165000</v>
      </c>
      <c r="X10" s="3"/>
      <c r="Y10" s="3">
        <v>165000</v>
      </c>
      <c r="Z10" s="3"/>
      <c r="AA10" s="3">
        <v>825000</v>
      </c>
      <c r="AB10" s="6">
        <v>5</v>
      </c>
      <c r="AC10" s="3">
        <v>165000</v>
      </c>
    </row>
    <row r="11" spans="1:29">
      <c r="A11">
        <v>1008</v>
      </c>
      <c r="B11" t="s">
        <v>21</v>
      </c>
      <c r="C11" s="1">
        <v>46242</v>
      </c>
      <c r="D11" s="1" t="str">
        <f>TEXT(C11,"mmmm")</f>
        <v>August</v>
      </c>
      <c r="E11" t="s">
        <v>18</v>
      </c>
      <c r="F11" t="s">
        <v>23</v>
      </c>
      <c r="G11" t="s">
        <v>26</v>
      </c>
      <c r="H11">
        <v>10</v>
      </c>
      <c r="I11">
        <v>2500</v>
      </c>
      <c r="J11" s="3">
        <v>165000</v>
      </c>
      <c r="K11" s="2">
        <f t="shared" si="0"/>
        <v>30000</v>
      </c>
      <c r="L11" s="2">
        <f t="shared" si="1"/>
        <v>550</v>
      </c>
      <c r="N11" t="s">
        <v>38</v>
      </c>
      <c r="O11" s="3"/>
      <c r="P11" s="3">
        <v>495000</v>
      </c>
      <c r="Q11" s="3"/>
      <c r="R11" s="3">
        <v>330000</v>
      </c>
      <c r="S11" s="6"/>
      <c r="T11" s="6">
        <v>3</v>
      </c>
      <c r="U11" s="6"/>
      <c r="V11" s="6">
        <v>2</v>
      </c>
      <c r="W11" s="3"/>
      <c r="X11" s="3">
        <v>165000</v>
      </c>
      <c r="Y11" s="3"/>
      <c r="Z11" s="3">
        <v>165000</v>
      </c>
      <c r="AA11" s="3">
        <v>825000</v>
      </c>
      <c r="AB11" s="6">
        <v>5</v>
      </c>
      <c r="AC11" s="3">
        <v>165000</v>
      </c>
    </row>
    <row r="12" spans="1:29">
      <c r="A12">
        <v>1009</v>
      </c>
      <c r="B12" t="s">
        <v>17</v>
      </c>
      <c r="C12" s="1">
        <v>46243</v>
      </c>
      <c r="D12" s="1" t="str">
        <f>TEXT(C12,"mmmm")</f>
        <v>August</v>
      </c>
      <c r="E12" t="s">
        <v>15</v>
      </c>
      <c r="F12" t="s">
        <v>23</v>
      </c>
      <c r="G12" t="s">
        <v>24</v>
      </c>
      <c r="H12">
        <v>4</v>
      </c>
      <c r="I12">
        <v>55000</v>
      </c>
      <c r="J12" s="3">
        <v>165000</v>
      </c>
      <c r="K12" s="2">
        <f t="shared" si="0"/>
        <v>200000</v>
      </c>
      <c r="L12" s="2">
        <f t="shared" si="1"/>
        <v>82.5</v>
      </c>
      <c r="N12" t="s">
        <v>45</v>
      </c>
      <c r="O12" s="3"/>
      <c r="P12" s="3">
        <v>330000</v>
      </c>
      <c r="Q12" s="3"/>
      <c r="R12" s="3">
        <v>495000</v>
      </c>
      <c r="S12" s="6"/>
      <c r="T12" s="6">
        <v>2</v>
      </c>
      <c r="U12" s="6"/>
      <c r="V12" s="6">
        <v>3</v>
      </c>
      <c r="W12" s="3"/>
      <c r="X12" s="3">
        <v>165000</v>
      </c>
      <c r="Y12" s="3"/>
      <c r="Z12" s="3">
        <v>165000</v>
      </c>
      <c r="AA12" s="3">
        <v>825000</v>
      </c>
      <c r="AB12" s="6">
        <v>5</v>
      </c>
      <c r="AC12" s="3">
        <v>165000</v>
      </c>
    </row>
    <row r="13" spans="1:29">
      <c r="A13">
        <v>1010</v>
      </c>
      <c r="B13" t="s">
        <v>24</v>
      </c>
      <c r="C13" s="1">
        <v>46244</v>
      </c>
      <c r="D13" s="1" t="str">
        <f>TEXT(C13,"mmmm")</f>
        <v>August</v>
      </c>
      <c r="E13" t="s">
        <v>19</v>
      </c>
      <c r="F13" t="s">
        <v>25</v>
      </c>
      <c r="G13" t="s">
        <v>17</v>
      </c>
      <c r="H13">
        <v>3</v>
      </c>
      <c r="I13">
        <v>22000</v>
      </c>
      <c r="J13" s="3">
        <v>165000</v>
      </c>
      <c r="K13" s="2">
        <f t="shared" si="0"/>
        <v>150000</v>
      </c>
      <c r="L13" s="2">
        <f t="shared" si="1"/>
        <v>110.00000000000001</v>
      </c>
      <c r="N13" t="s">
        <v>47</v>
      </c>
      <c r="O13" s="3"/>
      <c r="P13" s="3">
        <v>495000</v>
      </c>
      <c r="Q13" s="3"/>
      <c r="R13" s="3">
        <v>330000</v>
      </c>
      <c r="S13" s="6"/>
      <c r="T13" s="6">
        <v>3</v>
      </c>
      <c r="U13" s="6"/>
      <c r="V13" s="6">
        <v>2</v>
      </c>
      <c r="W13" s="3"/>
      <c r="X13" s="3">
        <v>165000</v>
      </c>
      <c r="Y13" s="3"/>
      <c r="Z13" s="3">
        <v>165000</v>
      </c>
      <c r="AA13" s="3">
        <v>825000</v>
      </c>
      <c r="AB13" s="6">
        <v>5</v>
      </c>
      <c r="AC13" s="3">
        <v>165000</v>
      </c>
    </row>
    <row r="14" spans="1:29">
      <c r="A14">
        <v>1011</v>
      </c>
      <c r="B14" t="s">
        <v>38</v>
      </c>
      <c r="C14" s="1">
        <v>46245</v>
      </c>
      <c r="D14" s="1" t="str">
        <f>TEXT(C14,"mmmm")</f>
        <v>August</v>
      </c>
      <c r="E14" t="s">
        <v>22</v>
      </c>
      <c r="F14" t="s">
        <v>16</v>
      </c>
      <c r="G14" t="s">
        <v>26</v>
      </c>
      <c r="H14">
        <v>5</v>
      </c>
      <c r="I14">
        <v>18000</v>
      </c>
      <c r="J14" s="3">
        <v>165000</v>
      </c>
      <c r="K14" s="2">
        <f t="shared" si="0"/>
        <v>100000</v>
      </c>
      <c r="L14" s="2">
        <f t="shared" si="1"/>
        <v>165</v>
      </c>
      <c r="N14" t="s">
        <v>48</v>
      </c>
      <c r="O14" s="3"/>
      <c r="P14" s="3">
        <v>330000</v>
      </c>
      <c r="Q14" s="3"/>
      <c r="R14" s="3">
        <v>495000</v>
      </c>
      <c r="S14" s="6"/>
      <c r="T14" s="6">
        <v>2</v>
      </c>
      <c r="U14" s="6"/>
      <c r="V14" s="6">
        <v>3</v>
      </c>
      <c r="W14" s="3"/>
      <c r="X14" s="3">
        <v>165000</v>
      </c>
      <c r="Y14" s="3"/>
      <c r="Z14" s="3">
        <v>165000</v>
      </c>
      <c r="AA14" s="3">
        <v>825000</v>
      </c>
      <c r="AB14" s="6">
        <v>5</v>
      </c>
      <c r="AC14" s="3">
        <v>165000</v>
      </c>
    </row>
    <row r="15" spans="1:29">
      <c r="A15">
        <v>1012</v>
      </c>
      <c r="B15" t="s">
        <v>44</v>
      </c>
      <c r="C15" s="1">
        <v>46246</v>
      </c>
      <c r="D15" s="1" t="str">
        <f>TEXT(C15,"mmmm")</f>
        <v>August</v>
      </c>
      <c r="E15" t="s">
        <v>18</v>
      </c>
      <c r="F15" t="s">
        <v>20</v>
      </c>
      <c r="G15" t="s">
        <v>21</v>
      </c>
      <c r="H15">
        <v>12</v>
      </c>
      <c r="I15">
        <v>2500</v>
      </c>
      <c r="J15" s="3">
        <v>165000</v>
      </c>
      <c r="K15" s="2">
        <f t="shared" si="0"/>
        <v>30000</v>
      </c>
      <c r="L15" s="2">
        <f t="shared" si="1"/>
        <v>550</v>
      </c>
      <c r="N15" t="s">
        <v>44</v>
      </c>
      <c r="O15" s="3">
        <v>330000</v>
      </c>
      <c r="P15" s="3"/>
      <c r="Q15" s="3">
        <v>495000</v>
      </c>
      <c r="R15" s="3"/>
      <c r="S15" s="6">
        <v>2</v>
      </c>
      <c r="T15" s="6"/>
      <c r="U15" s="6">
        <v>3</v>
      </c>
      <c r="V15" s="6"/>
      <c r="W15" s="3">
        <v>165000</v>
      </c>
      <c r="X15" s="3"/>
      <c r="Y15" s="3">
        <v>165000</v>
      </c>
      <c r="Z15" s="3"/>
      <c r="AA15" s="3">
        <v>825000</v>
      </c>
      <c r="AB15" s="6">
        <v>5</v>
      </c>
      <c r="AC15" s="3">
        <v>165000</v>
      </c>
    </row>
    <row r="16" spans="1:29">
      <c r="A16">
        <v>1013</v>
      </c>
      <c r="B16" t="s">
        <v>45</v>
      </c>
      <c r="C16" s="1">
        <v>46247</v>
      </c>
      <c r="D16" s="1" t="str">
        <f>TEXT(C16,"mmmm")</f>
        <v>August</v>
      </c>
      <c r="E16" t="s">
        <v>15</v>
      </c>
      <c r="F16" t="s">
        <v>25</v>
      </c>
      <c r="G16" t="s">
        <v>21</v>
      </c>
      <c r="H16">
        <v>2</v>
      </c>
      <c r="I16">
        <v>55000</v>
      </c>
      <c r="J16" s="3">
        <v>165000</v>
      </c>
      <c r="K16" s="2">
        <f t="shared" si="0"/>
        <v>200000</v>
      </c>
      <c r="L16" s="2">
        <f t="shared" si="1"/>
        <v>82.5</v>
      </c>
      <c r="N16" t="s">
        <v>27</v>
      </c>
      <c r="O16" s="3">
        <v>1980000</v>
      </c>
      <c r="P16" s="3">
        <v>2145000</v>
      </c>
      <c r="Q16" s="3">
        <v>2145000</v>
      </c>
      <c r="R16" s="3">
        <v>1980000</v>
      </c>
      <c r="S16" s="6">
        <v>12</v>
      </c>
      <c r="T16" s="6">
        <v>13</v>
      </c>
      <c r="U16" s="6">
        <v>13</v>
      </c>
      <c r="V16" s="6">
        <v>12</v>
      </c>
      <c r="W16" s="3">
        <v>165000</v>
      </c>
      <c r="X16" s="3">
        <v>165000</v>
      </c>
      <c r="Y16" s="3">
        <v>165000</v>
      </c>
      <c r="Z16" s="3">
        <v>165000</v>
      </c>
      <c r="AA16" s="3">
        <v>8250000</v>
      </c>
      <c r="AB16" s="6">
        <v>50</v>
      </c>
      <c r="AC16" s="3">
        <v>165000</v>
      </c>
    </row>
    <row r="17" spans="1:12">
      <c r="A17">
        <v>1014</v>
      </c>
      <c r="B17" t="s">
        <v>46</v>
      </c>
      <c r="C17" s="1">
        <v>46248</v>
      </c>
      <c r="D17" s="1" t="str">
        <f>TEXT(C17,"mmmm")</f>
        <v>August</v>
      </c>
      <c r="E17" t="s">
        <v>19</v>
      </c>
      <c r="F17" t="s">
        <v>23</v>
      </c>
      <c r="G17" t="s">
        <v>26</v>
      </c>
      <c r="H17">
        <v>6</v>
      </c>
      <c r="I17">
        <v>22000</v>
      </c>
      <c r="J17" s="3">
        <v>165000</v>
      </c>
      <c r="K17" s="2">
        <f t="shared" si="0"/>
        <v>150000</v>
      </c>
      <c r="L17" s="2">
        <f t="shared" si="1"/>
        <v>110.00000000000001</v>
      </c>
    </row>
    <row r="18" spans="1:12">
      <c r="A18">
        <v>1015</v>
      </c>
      <c r="B18" t="s">
        <v>47</v>
      </c>
      <c r="C18" s="1">
        <v>46249</v>
      </c>
      <c r="D18" s="1" t="str">
        <f>TEXT(C18,"mmmm")</f>
        <v>August</v>
      </c>
      <c r="E18" t="s">
        <v>22</v>
      </c>
      <c r="F18" t="s">
        <v>20</v>
      </c>
      <c r="G18" t="s">
        <v>17</v>
      </c>
      <c r="H18">
        <v>7</v>
      </c>
      <c r="I18">
        <v>18000</v>
      </c>
      <c r="J18" s="3">
        <v>165000</v>
      </c>
      <c r="K18" s="2">
        <f t="shared" si="0"/>
        <v>100000</v>
      </c>
      <c r="L18" s="2">
        <f t="shared" si="1"/>
        <v>165</v>
      </c>
    </row>
    <row r="19" spans="1:12">
      <c r="A19">
        <v>1016</v>
      </c>
      <c r="B19" t="s">
        <v>26</v>
      </c>
      <c r="C19" s="1">
        <v>46250</v>
      </c>
      <c r="D19" s="1" t="str">
        <f>TEXT(C19,"mmmm")</f>
        <v>August</v>
      </c>
      <c r="E19" t="s">
        <v>18</v>
      </c>
      <c r="F19" t="s">
        <v>16</v>
      </c>
      <c r="G19" t="s">
        <v>24</v>
      </c>
      <c r="H19">
        <v>9</v>
      </c>
      <c r="I19">
        <v>2500</v>
      </c>
      <c r="J19" s="3">
        <v>165000</v>
      </c>
      <c r="K19" s="2">
        <f t="shared" si="0"/>
        <v>30000</v>
      </c>
      <c r="L19" s="2">
        <f t="shared" si="1"/>
        <v>550</v>
      </c>
    </row>
    <row r="20" spans="1:12">
      <c r="A20">
        <v>1017</v>
      </c>
      <c r="B20" t="s">
        <v>48</v>
      </c>
      <c r="C20" s="1">
        <v>46251</v>
      </c>
      <c r="D20" s="1" t="str">
        <f>TEXT(C20,"mmmm")</f>
        <v>August</v>
      </c>
      <c r="E20" t="s">
        <v>15</v>
      </c>
      <c r="F20" t="s">
        <v>16</v>
      </c>
      <c r="G20" t="s">
        <v>26</v>
      </c>
      <c r="H20">
        <v>5</v>
      </c>
      <c r="I20">
        <v>55000</v>
      </c>
      <c r="J20" s="3">
        <v>165000</v>
      </c>
      <c r="K20" s="2">
        <f t="shared" si="0"/>
        <v>200000</v>
      </c>
      <c r="L20" s="2">
        <f t="shared" si="1"/>
        <v>82.5</v>
      </c>
    </row>
    <row r="21" spans="1:12">
      <c r="A21">
        <v>1018</v>
      </c>
      <c r="B21" t="s">
        <v>21</v>
      </c>
      <c r="C21" s="1">
        <v>46252</v>
      </c>
      <c r="D21" s="1" t="str">
        <f>TEXT(C21,"mmmm")</f>
        <v>August</v>
      </c>
      <c r="E21" t="s">
        <v>19</v>
      </c>
      <c r="F21" t="s">
        <v>20</v>
      </c>
      <c r="G21" t="s">
        <v>24</v>
      </c>
      <c r="H21">
        <v>4</v>
      </c>
      <c r="I21">
        <v>22000</v>
      </c>
      <c r="J21" s="3">
        <v>165000</v>
      </c>
      <c r="K21" s="2">
        <f t="shared" si="0"/>
        <v>150000</v>
      </c>
      <c r="L21" s="2">
        <f t="shared" si="1"/>
        <v>110.00000000000001</v>
      </c>
    </row>
    <row r="22" spans="1:12">
      <c r="A22">
        <v>1019</v>
      </c>
      <c r="B22" t="s">
        <v>17</v>
      </c>
      <c r="C22" s="1">
        <v>46253</v>
      </c>
      <c r="D22" s="1" t="str">
        <f>TEXT(C22,"mmmm")</f>
        <v>August</v>
      </c>
      <c r="E22" t="s">
        <v>22</v>
      </c>
      <c r="F22" t="s">
        <v>23</v>
      </c>
      <c r="G22" t="s">
        <v>17</v>
      </c>
      <c r="H22">
        <v>8</v>
      </c>
      <c r="I22">
        <v>18000</v>
      </c>
      <c r="J22" s="3">
        <v>165000</v>
      </c>
      <c r="K22" s="2">
        <f t="shared" si="0"/>
        <v>100000</v>
      </c>
      <c r="L22" s="2">
        <f t="shared" si="1"/>
        <v>165</v>
      </c>
    </row>
    <row r="23" spans="1:12">
      <c r="A23">
        <v>1020</v>
      </c>
      <c r="B23" t="s">
        <v>24</v>
      </c>
      <c r="C23" s="1">
        <v>46254</v>
      </c>
      <c r="D23" s="1" t="str">
        <f>TEXT(C23,"mmmm")</f>
        <v>August</v>
      </c>
      <c r="E23" t="s">
        <v>18</v>
      </c>
      <c r="F23" t="s">
        <v>25</v>
      </c>
      <c r="G23" t="s">
        <v>21</v>
      </c>
      <c r="H23">
        <v>15</v>
      </c>
      <c r="I23">
        <v>2500</v>
      </c>
      <c r="J23" s="3">
        <v>165000</v>
      </c>
      <c r="K23" s="2">
        <f t="shared" si="0"/>
        <v>30000</v>
      </c>
      <c r="L23" s="2">
        <f t="shared" si="1"/>
        <v>550</v>
      </c>
    </row>
    <row r="24" spans="1:12">
      <c r="A24">
        <v>1021</v>
      </c>
      <c r="B24" t="s">
        <v>38</v>
      </c>
      <c r="C24" s="1">
        <v>46255</v>
      </c>
      <c r="D24" s="1" t="str">
        <f>TEXT(C24,"mmmm")</f>
        <v>August</v>
      </c>
      <c r="E24" t="s">
        <v>15</v>
      </c>
      <c r="F24" t="s">
        <v>20</v>
      </c>
      <c r="G24" t="s">
        <v>24</v>
      </c>
      <c r="H24">
        <v>3</v>
      </c>
      <c r="I24">
        <v>55000</v>
      </c>
      <c r="J24" s="3">
        <v>165000</v>
      </c>
      <c r="K24" s="2">
        <f t="shared" si="0"/>
        <v>200000</v>
      </c>
      <c r="L24" s="2">
        <f t="shared" si="1"/>
        <v>82.5</v>
      </c>
    </row>
    <row r="25" spans="1:12">
      <c r="A25">
        <v>1022</v>
      </c>
      <c r="B25" t="s">
        <v>44</v>
      </c>
      <c r="C25" s="1">
        <v>46256</v>
      </c>
      <c r="D25" s="1" t="str">
        <f>TEXT(C25,"mmmm")</f>
        <v>August</v>
      </c>
      <c r="E25" t="s">
        <v>19</v>
      </c>
      <c r="F25" t="s">
        <v>16</v>
      </c>
      <c r="G25" t="s">
        <v>21</v>
      </c>
      <c r="H25">
        <v>8</v>
      </c>
      <c r="I25">
        <v>22000</v>
      </c>
      <c r="J25" s="3">
        <v>165000</v>
      </c>
      <c r="K25" s="2">
        <f t="shared" si="0"/>
        <v>150000</v>
      </c>
      <c r="L25" s="2">
        <f t="shared" si="1"/>
        <v>110.00000000000001</v>
      </c>
    </row>
    <row r="26" spans="1:12">
      <c r="A26">
        <v>1023</v>
      </c>
      <c r="B26" t="s">
        <v>45</v>
      </c>
      <c r="C26" s="1">
        <v>46257</v>
      </c>
      <c r="D26" s="1" t="str">
        <f>TEXT(C26,"mmmm")</f>
        <v>August</v>
      </c>
      <c r="E26" t="s">
        <v>22</v>
      </c>
      <c r="F26" t="s">
        <v>25</v>
      </c>
      <c r="G26" t="s">
        <v>26</v>
      </c>
      <c r="H26">
        <v>4</v>
      </c>
      <c r="I26">
        <v>18000</v>
      </c>
      <c r="J26" s="3">
        <v>165000</v>
      </c>
      <c r="K26" s="2">
        <f t="shared" si="0"/>
        <v>100000</v>
      </c>
      <c r="L26" s="2">
        <f t="shared" si="1"/>
        <v>165</v>
      </c>
    </row>
    <row r="27" spans="1:12">
      <c r="A27">
        <v>1024</v>
      </c>
      <c r="B27" t="s">
        <v>46</v>
      </c>
      <c r="C27" s="1">
        <v>46258</v>
      </c>
      <c r="D27" s="1" t="str">
        <f>TEXT(C27,"mmmm")</f>
        <v>August</v>
      </c>
      <c r="E27" t="s">
        <v>18</v>
      </c>
      <c r="F27" t="s">
        <v>23</v>
      </c>
      <c r="G27" t="s">
        <v>17</v>
      </c>
      <c r="H27">
        <v>11</v>
      </c>
      <c r="I27">
        <v>2500</v>
      </c>
      <c r="J27" s="3">
        <v>165000</v>
      </c>
      <c r="K27" s="2">
        <f t="shared" si="0"/>
        <v>30000</v>
      </c>
      <c r="L27" s="2">
        <f t="shared" si="1"/>
        <v>550</v>
      </c>
    </row>
    <row r="28" spans="1:12">
      <c r="A28">
        <v>1025</v>
      </c>
      <c r="B28" t="s">
        <v>47</v>
      </c>
      <c r="C28" s="1">
        <v>46259</v>
      </c>
      <c r="D28" s="1" t="str">
        <f>TEXT(C28,"mmmm")</f>
        <v>August</v>
      </c>
      <c r="E28" t="s">
        <v>15</v>
      </c>
      <c r="F28" t="s">
        <v>23</v>
      </c>
      <c r="G28" t="s">
        <v>21</v>
      </c>
      <c r="H28">
        <v>2</v>
      </c>
      <c r="I28">
        <v>55000</v>
      </c>
      <c r="J28" s="3">
        <v>165000</v>
      </c>
      <c r="K28" s="2">
        <f t="shared" si="0"/>
        <v>200000</v>
      </c>
      <c r="L28" s="2">
        <f t="shared" si="1"/>
        <v>82.5</v>
      </c>
    </row>
    <row r="29" spans="1:12">
      <c r="A29">
        <v>1026</v>
      </c>
      <c r="B29" t="s">
        <v>26</v>
      </c>
      <c r="C29" s="1">
        <v>46260</v>
      </c>
      <c r="D29" s="1" t="str">
        <f>TEXT(C29,"mmmm")</f>
        <v>August</v>
      </c>
      <c r="E29" t="s">
        <v>19</v>
      </c>
      <c r="F29" t="s">
        <v>25</v>
      </c>
      <c r="G29" t="s">
        <v>24</v>
      </c>
      <c r="H29">
        <v>5</v>
      </c>
      <c r="I29">
        <v>22000</v>
      </c>
      <c r="J29" s="3">
        <v>165000</v>
      </c>
      <c r="K29" s="2">
        <f t="shared" si="0"/>
        <v>150000</v>
      </c>
      <c r="L29" s="2">
        <f t="shared" si="1"/>
        <v>110.00000000000001</v>
      </c>
    </row>
    <row r="30" spans="1:12">
      <c r="A30">
        <v>1027</v>
      </c>
      <c r="B30" t="s">
        <v>48</v>
      </c>
      <c r="C30" s="1">
        <v>46261</v>
      </c>
      <c r="D30" s="1" t="str">
        <f>TEXT(C30,"mmmm")</f>
        <v>August</v>
      </c>
      <c r="E30" t="s">
        <v>22</v>
      </c>
      <c r="F30" t="s">
        <v>16</v>
      </c>
      <c r="G30" t="s">
        <v>17</v>
      </c>
      <c r="H30">
        <v>6</v>
      </c>
      <c r="I30">
        <v>18000</v>
      </c>
      <c r="J30" s="3">
        <v>165000</v>
      </c>
      <c r="K30" s="2">
        <f t="shared" si="0"/>
        <v>100000</v>
      </c>
      <c r="L30" s="2">
        <f t="shared" si="1"/>
        <v>165</v>
      </c>
    </row>
    <row r="31" spans="1:12">
      <c r="A31">
        <v>1028</v>
      </c>
      <c r="B31" t="s">
        <v>21</v>
      </c>
      <c r="C31" s="1">
        <v>46262</v>
      </c>
      <c r="D31" s="1" t="str">
        <f>TEXT(C31,"mmmm")</f>
        <v>August</v>
      </c>
      <c r="E31" t="s">
        <v>18</v>
      </c>
      <c r="F31" t="s">
        <v>20</v>
      </c>
      <c r="G31" t="s">
        <v>26</v>
      </c>
      <c r="H31">
        <v>14</v>
      </c>
      <c r="I31">
        <v>2500</v>
      </c>
      <c r="J31" s="3">
        <v>165000</v>
      </c>
      <c r="K31" s="2">
        <f t="shared" si="0"/>
        <v>30000</v>
      </c>
      <c r="L31" s="2">
        <f t="shared" si="1"/>
        <v>550</v>
      </c>
    </row>
    <row r="32" spans="1:12">
      <c r="A32">
        <v>1029</v>
      </c>
      <c r="B32" t="s">
        <v>17</v>
      </c>
      <c r="C32" s="1">
        <v>46263</v>
      </c>
      <c r="D32" s="1" t="str">
        <f>TEXT(C32,"mmmm")</f>
        <v>August</v>
      </c>
      <c r="E32" t="s">
        <v>15</v>
      </c>
      <c r="F32" t="s">
        <v>25</v>
      </c>
      <c r="G32" t="s">
        <v>26</v>
      </c>
      <c r="H32">
        <v>4</v>
      </c>
      <c r="I32">
        <v>55000</v>
      </c>
      <c r="J32" s="3">
        <v>165000</v>
      </c>
      <c r="K32" s="2">
        <f t="shared" si="0"/>
        <v>200000</v>
      </c>
      <c r="L32" s="2">
        <f t="shared" si="1"/>
        <v>82.5</v>
      </c>
    </row>
    <row r="33" spans="1:12">
      <c r="A33">
        <v>1030</v>
      </c>
      <c r="B33" t="s">
        <v>24</v>
      </c>
      <c r="C33" s="1">
        <v>46264</v>
      </c>
      <c r="D33" s="1" t="str">
        <f>TEXT(C33,"mmmm")</f>
        <v>August</v>
      </c>
      <c r="E33" t="s">
        <v>19</v>
      </c>
      <c r="F33" t="s">
        <v>23</v>
      </c>
      <c r="G33" t="s">
        <v>17</v>
      </c>
      <c r="H33">
        <v>7</v>
      </c>
      <c r="I33">
        <v>22000</v>
      </c>
      <c r="J33" s="3">
        <v>165000</v>
      </c>
      <c r="K33" s="2">
        <f t="shared" si="0"/>
        <v>150000</v>
      </c>
      <c r="L33" s="2">
        <f t="shared" si="1"/>
        <v>110.00000000000001</v>
      </c>
    </row>
    <row r="34" spans="1:12">
      <c r="A34">
        <v>1031</v>
      </c>
      <c r="B34" t="s">
        <v>38</v>
      </c>
      <c r="C34" s="1">
        <v>46265</v>
      </c>
      <c r="D34" s="1" t="str">
        <f>TEXT(C34,"mmmm")</f>
        <v>August</v>
      </c>
      <c r="E34" t="s">
        <v>22</v>
      </c>
      <c r="F34" t="s">
        <v>20</v>
      </c>
      <c r="G34" t="s">
        <v>21</v>
      </c>
      <c r="H34">
        <v>5</v>
      </c>
      <c r="I34">
        <v>18000</v>
      </c>
      <c r="J34" s="3">
        <v>165000</v>
      </c>
      <c r="K34" s="2">
        <f t="shared" si="0"/>
        <v>100000</v>
      </c>
      <c r="L34" s="2">
        <f t="shared" si="1"/>
        <v>165</v>
      </c>
    </row>
    <row r="35" spans="1:12">
      <c r="A35">
        <v>1032</v>
      </c>
      <c r="B35" t="s">
        <v>44</v>
      </c>
      <c r="C35" s="1">
        <v>46266</v>
      </c>
      <c r="D35" s="1" t="str">
        <f>TEXT(C35,"mmmm")</f>
        <v>September</v>
      </c>
      <c r="E35" t="s">
        <v>18</v>
      </c>
      <c r="F35" t="s">
        <v>16</v>
      </c>
      <c r="G35" t="s">
        <v>24</v>
      </c>
      <c r="H35">
        <v>13</v>
      </c>
      <c r="I35">
        <v>2500</v>
      </c>
      <c r="J35" s="3">
        <v>165000</v>
      </c>
      <c r="K35" s="2">
        <f t="shared" si="0"/>
        <v>30000</v>
      </c>
      <c r="L35" s="2">
        <f t="shared" si="1"/>
        <v>550</v>
      </c>
    </row>
    <row r="36" spans="1:12">
      <c r="A36">
        <v>1033</v>
      </c>
      <c r="B36" t="s">
        <v>45</v>
      </c>
      <c r="C36" s="1">
        <v>46267</v>
      </c>
      <c r="D36" s="1" t="str">
        <f>TEXT(C36,"mmmm")</f>
        <v>September</v>
      </c>
      <c r="E36" t="s">
        <v>15</v>
      </c>
      <c r="F36" t="s">
        <v>16</v>
      </c>
      <c r="G36" t="s">
        <v>21</v>
      </c>
      <c r="H36">
        <v>3</v>
      </c>
      <c r="I36">
        <v>55000</v>
      </c>
      <c r="J36" s="3">
        <v>165000</v>
      </c>
      <c r="K36" s="2">
        <f t="shared" si="0"/>
        <v>200000</v>
      </c>
      <c r="L36" s="2">
        <f t="shared" si="1"/>
        <v>82.5</v>
      </c>
    </row>
    <row r="37" spans="1:12">
      <c r="A37">
        <v>1034</v>
      </c>
      <c r="B37" t="s">
        <v>46</v>
      </c>
      <c r="C37" s="1">
        <v>46268</v>
      </c>
      <c r="D37" s="1" t="str">
        <f>TEXT(C37,"mmmm")</f>
        <v>September</v>
      </c>
      <c r="E37" t="s">
        <v>19</v>
      </c>
      <c r="F37" t="s">
        <v>20</v>
      </c>
      <c r="G37" t="s">
        <v>26</v>
      </c>
      <c r="H37">
        <v>6</v>
      </c>
      <c r="I37">
        <v>22000</v>
      </c>
      <c r="J37" s="3">
        <v>165000</v>
      </c>
      <c r="K37" s="2">
        <f t="shared" si="0"/>
        <v>150000</v>
      </c>
      <c r="L37" s="2">
        <f t="shared" si="1"/>
        <v>110.00000000000001</v>
      </c>
    </row>
    <row r="38" spans="1:12">
      <c r="A38">
        <v>1035</v>
      </c>
      <c r="B38" t="s">
        <v>47</v>
      </c>
      <c r="C38" s="1">
        <v>46269</v>
      </c>
      <c r="D38" s="1" t="str">
        <f>TEXT(C38,"mmmm")</f>
        <v>September</v>
      </c>
      <c r="E38" t="s">
        <v>22</v>
      </c>
      <c r="F38" t="s">
        <v>23</v>
      </c>
      <c r="G38" t="s">
        <v>24</v>
      </c>
      <c r="H38">
        <v>9</v>
      </c>
      <c r="I38">
        <v>18000</v>
      </c>
      <c r="J38" s="3">
        <v>165000</v>
      </c>
      <c r="K38" s="2">
        <f t="shared" si="0"/>
        <v>100000</v>
      </c>
      <c r="L38" s="2">
        <f t="shared" si="1"/>
        <v>165</v>
      </c>
    </row>
    <row r="39" spans="1:12">
      <c r="A39">
        <v>1036</v>
      </c>
      <c r="B39" t="s">
        <v>26</v>
      </c>
      <c r="C39" s="1">
        <v>46270</v>
      </c>
      <c r="D39" s="1" t="str">
        <f>TEXT(C39,"mmmm")</f>
        <v>September</v>
      </c>
      <c r="E39" t="s">
        <v>18</v>
      </c>
      <c r="F39" t="s">
        <v>25</v>
      </c>
      <c r="G39" t="s">
        <v>17</v>
      </c>
      <c r="H39">
        <v>16</v>
      </c>
      <c r="I39">
        <v>2500</v>
      </c>
      <c r="J39" s="3">
        <v>165000</v>
      </c>
      <c r="K39" s="2">
        <f t="shared" si="0"/>
        <v>30000</v>
      </c>
      <c r="L39" s="2">
        <f t="shared" si="1"/>
        <v>550</v>
      </c>
    </row>
    <row r="40" spans="1:12">
      <c r="A40">
        <v>1037</v>
      </c>
      <c r="B40" t="s">
        <v>48</v>
      </c>
      <c r="C40" s="1">
        <v>46271</v>
      </c>
      <c r="D40" s="1" t="str">
        <f>TEXT(C40,"mmmm")</f>
        <v>September</v>
      </c>
      <c r="E40" t="s">
        <v>15</v>
      </c>
      <c r="F40" t="s">
        <v>20</v>
      </c>
      <c r="G40" t="s">
        <v>26</v>
      </c>
      <c r="H40">
        <v>2</v>
      </c>
      <c r="I40">
        <v>55000</v>
      </c>
      <c r="J40" s="3">
        <v>165000</v>
      </c>
      <c r="K40" s="2">
        <f t="shared" si="0"/>
        <v>200000</v>
      </c>
      <c r="L40" s="2">
        <f t="shared" si="1"/>
        <v>82.5</v>
      </c>
    </row>
    <row r="41" spans="1:12">
      <c r="A41">
        <v>1038</v>
      </c>
      <c r="B41" t="s">
        <v>21</v>
      </c>
      <c r="C41" s="1">
        <v>46272</v>
      </c>
      <c r="D41" s="1" t="str">
        <f>TEXT(C41,"mmmm")</f>
        <v>September</v>
      </c>
      <c r="E41" t="s">
        <v>19</v>
      </c>
      <c r="F41" t="s">
        <v>16</v>
      </c>
      <c r="G41" t="s">
        <v>17</v>
      </c>
      <c r="H41">
        <v>9</v>
      </c>
      <c r="I41">
        <v>22000</v>
      </c>
      <c r="J41" s="3">
        <v>165000</v>
      </c>
      <c r="K41" s="2">
        <f t="shared" si="0"/>
        <v>150000</v>
      </c>
      <c r="L41" s="2">
        <f t="shared" si="1"/>
        <v>110.00000000000001</v>
      </c>
    </row>
    <row r="42" spans="1:12">
      <c r="A42">
        <v>1039</v>
      </c>
      <c r="B42" t="s">
        <v>17</v>
      </c>
      <c r="C42" s="1">
        <v>46273</v>
      </c>
      <c r="D42" s="1" t="str">
        <f>TEXT(C42,"mmmm")</f>
        <v>September</v>
      </c>
      <c r="E42" t="s">
        <v>22</v>
      </c>
      <c r="F42" t="s">
        <v>25</v>
      </c>
      <c r="G42" t="s">
        <v>24</v>
      </c>
      <c r="H42">
        <v>6</v>
      </c>
      <c r="I42">
        <v>18000</v>
      </c>
      <c r="J42" s="3">
        <v>165000</v>
      </c>
      <c r="K42" s="2">
        <f t="shared" si="0"/>
        <v>100000</v>
      </c>
      <c r="L42" s="2">
        <f t="shared" si="1"/>
        <v>165</v>
      </c>
    </row>
    <row r="43" spans="1:12">
      <c r="A43">
        <v>1040</v>
      </c>
      <c r="B43" t="s">
        <v>24</v>
      </c>
      <c r="C43" s="1">
        <v>46274</v>
      </c>
      <c r="D43" s="1" t="str">
        <f>TEXT(C43,"mmmm")</f>
        <v>September</v>
      </c>
      <c r="E43" t="s">
        <v>18</v>
      </c>
      <c r="F43" t="s">
        <v>23</v>
      </c>
      <c r="G43" t="s">
        <v>21</v>
      </c>
      <c r="H43">
        <v>12</v>
      </c>
      <c r="I43">
        <v>2500</v>
      </c>
      <c r="J43" s="3">
        <v>165000</v>
      </c>
      <c r="K43" s="2">
        <f t="shared" si="0"/>
        <v>30000</v>
      </c>
      <c r="L43" s="2">
        <f t="shared" si="1"/>
        <v>550</v>
      </c>
    </row>
    <row r="44" spans="1:12">
      <c r="A44">
        <v>1041</v>
      </c>
      <c r="B44" t="s">
        <v>38</v>
      </c>
      <c r="C44" s="1">
        <v>46275</v>
      </c>
      <c r="D44" s="1" t="str">
        <f>TEXT(C44,"mmmm")</f>
        <v>September</v>
      </c>
      <c r="E44" t="s">
        <v>15</v>
      </c>
      <c r="F44" t="s">
        <v>23</v>
      </c>
      <c r="G44" t="s">
        <v>17</v>
      </c>
      <c r="H44">
        <v>5</v>
      </c>
      <c r="I44">
        <v>55000</v>
      </c>
      <c r="J44" s="3">
        <v>165000</v>
      </c>
      <c r="K44" s="2">
        <f t="shared" si="0"/>
        <v>200000</v>
      </c>
      <c r="L44" s="2">
        <f t="shared" si="1"/>
        <v>82.5</v>
      </c>
    </row>
    <row r="45" spans="1:12">
      <c r="A45">
        <v>1042</v>
      </c>
      <c r="B45" t="s">
        <v>44</v>
      </c>
      <c r="C45" s="1">
        <v>46276</v>
      </c>
      <c r="D45" s="1" t="str">
        <f>TEXT(C45,"mmmm")</f>
        <v>September</v>
      </c>
      <c r="E45" t="s">
        <v>19</v>
      </c>
      <c r="F45" t="s">
        <v>25</v>
      </c>
      <c r="G45" t="s">
        <v>21</v>
      </c>
      <c r="H45">
        <v>4</v>
      </c>
      <c r="I45">
        <v>22000</v>
      </c>
      <c r="J45" s="3">
        <v>165000</v>
      </c>
      <c r="K45" s="2">
        <f t="shared" si="0"/>
        <v>150000</v>
      </c>
      <c r="L45" s="2">
        <f t="shared" si="1"/>
        <v>110.00000000000001</v>
      </c>
    </row>
    <row r="46" spans="1:12">
      <c r="A46">
        <v>1043</v>
      </c>
      <c r="B46" t="s">
        <v>45</v>
      </c>
      <c r="C46" s="1">
        <v>46277</v>
      </c>
      <c r="D46" s="1" t="str">
        <f>TEXT(C46,"mmmm")</f>
        <v>September</v>
      </c>
      <c r="E46" t="s">
        <v>22</v>
      </c>
      <c r="F46" t="s">
        <v>16</v>
      </c>
      <c r="G46" t="s">
        <v>26</v>
      </c>
      <c r="H46">
        <v>7</v>
      </c>
      <c r="I46">
        <v>18000</v>
      </c>
      <c r="J46" s="3">
        <v>165000</v>
      </c>
      <c r="K46" s="2">
        <f t="shared" si="0"/>
        <v>100000</v>
      </c>
      <c r="L46" s="2">
        <f t="shared" si="1"/>
        <v>165</v>
      </c>
    </row>
    <row r="47" spans="1:12">
      <c r="A47">
        <v>1044</v>
      </c>
      <c r="B47" t="s">
        <v>46</v>
      </c>
      <c r="C47" s="1">
        <v>46278</v>
      </c>
      <c r="D47" s="1" t="str">
        <f>TEXT(C47,"mmmm")</f>
        <v>September</v>
      </c>
      <c r="E47" t="s">
        <v>18</v>
      </c>
      <c r="F47" t="s">
        <v>20</v>
      </c>
      <c r="G47" t="s">
        <v>24</v>
      </c>
      <c r="H47">
        <v>18</v>
      </c>
      <c r="I47">
        <v>2500</v>
      </c>
      <c r="J47" s="3">
        <v>165000</v>
      </c>
      <c r="K47" s="2">
        <f t="shared" si="0"/>
        <v>30000</v>
      </c>
      <c r="L47" s="2">
        <f t="shared" si="1"/>
        <v>550</v>
      </c>
    </row>
    <row r="48" spans="1:12">
      <c r="A48">
        <v>1045</v>
      </c>
      <c r="B48" t="s">
        <v>47</v>
      </c>
      <c r="C48" s="1">
        <v>46279</v>
      </c>
      <c r="D48" s="1" t="str">
        <f>TEXT(C48,"mmmm")</f>
        <v>September</v>
      </c>
      <c r="E48" t="s">
        <v>15</v>
      </c>
      <c r="F48" t="s">
        <v>25</v>
      </c>
      <c r="G48" t="s">
        <v>24</v>
      </c>
      <c r="H48">
        <v>3</v>
      </c>
      <c r="I48">
        <v>55000</v>
      </c>
      <c r="J48" s="3">
        <v>165000</v>
      </c>
      <c r="K48" s="2">
        <f t="shared" si="0"/>
        <v>200000</v>
      </c>
      <c r="L48" s="2">
        <f t="shared" si="1"/>
        <v>82.5</v>
      </c>
    </row>
    <row r="49" spans="1:12">
      <c r="A49">
        <v>1046</v>
      </c>
      <c r="B49" t="s">
        <v>26</v>
      </c>
      <c r="C49" s="1">
        <v>46280</v>
      </c>
      <c r="D49" s="1" t="str">
        <f>TEXT(C49,"mmmm")</f>
        <v>September</v>
      </c>
      <c r="E49" t="s">
        <v>19</v>
      </c>
      <c r="F49" t="s">
        <v>23</v>
      </c>
      <c r="G49" t="s">
        <v>26</v>
      </c>
      <c r="H49">
        <v>8</v>
      </c>
      <c r="I49">
        <v>22000</v>
      </c>
      <c r="J49" s="3">
        <v>165000</v>
      </c>
      <c r="K49" s="2">
        <f t="shared" si="0"/>
        <v>150000</v>
      </c>
      <c r="L49" s="2">
        <f t="shared" si="1"/>
        <v>110.00000000000001</v>
      </c>
    </row>
    <row r="50" spans="1:12">
      <c r="A50">
        <v>1047</v>
      </c>
      <c r="B50" t="s">
        <v>48</v>
      </c>
      <c r="C50" s="1">
        <v>46281</v>
      </c>
      <c r="D50" s="1" t="str">
        <f>TEXT(C50,"mmmm")</f>
        <v>September</v>
      </c>
      <c r="E50" t="s">
        <v>22</v>
      </c>
      <c r="F50" t="s">
        <v>20</v>
      </c>
      <c r="G50" t="s">
        <v>17</v>
      </c>
      <c r="H50">
        <v>6</v>
      </c>
      <c r="I50">
        <v>18000</v>
      </c>
      <c r="J50" s="3">
        <v>165000</v>
      </c>
      <c r="K50" s="2">
        <f t="shared" si="0"/>
        <v>100000</v>
      </c>
      <c r="L50" s="2">
        <f t="shared" si="1"/>
        <v>165</v>
      </c>
    </row>
    <row r="51" spans="1:12">
      <c r="A51">
        <v>1048</v>
      </c>
      <c r="B51" t="s">
        <v>21</v>
      </c>
      <c r="C51" s="1">
        <v>46282</v>
      </c>
      <c r="D51" s="1" t="str">
        <f>TEXT(C51,"mmmm")</f>
        <v>September</v>
      </c>
      <c r="E51" t="s">
        <v>18</v>
      </c>
      <c r="F51" t="s">
        <v>16</v>
      </c>
      <c r="G51" t="s">
        <v>21</v>
      </c>
      <c r="H51">
        <v>10</v>
      </c>
      <c r="I51">
        <v>2500</v>
      </c>
      <c r="J51" s="3">
        <v>165000</v>
      </c>
      <c r="K51" s="2">
        <f t="shared" si="0"/>
        <v>30000</v>
      </c>
      <c r="L51" s="2">
        <f t="shared" si="1"/>
        <v>550</v>
      </c>
    </row>
    <row r="52" spans="1:12">
      <c r="A52">
        <v>1049</v>
      </c>
      <c r="B52" t="s">
        <v>17</v>
      </c>
      <c r="C52" s="1">
        <v>46283</v>
      </c>
      <c r="D52" s="1" t="str">
        <f>TEXT(C52,"mmmm")</f>
        <v>September</v>
      </c>
      <c r="E52" t="s">
        <v>15</v>
      </c>
      <c r="F52" t="s">
        <v>16</v>
      </c>
      <c r="G52" t="s">
        <v>24</v>
      </c>
      <c r="H52">
        <v>4</v>
      </c>
      <c r="I52">
        <v>55000</v>
      </c>
      <c r="J52" s="3">
        <v>165000</v>
      </c>
      <c r="K52" s="2">
        <f t="shared" si="0"/>
        <v>200000</v>
      </c>
      <c r="L52" s="2">
        <f t="shared" si="1"/>
        <v>82.5</v>
      </c>
    </row>
    <row r="53" spans="1:12">
      <c r="A53">
        <v>1050</v>
      </c>
      <c r="B53" t="s">
        <v>24</v>
      </c>
      <c r="C53" s="1">
        <v>46284</v>
      </c>
      <c r="D53" s="1" t="str">
        <f>TEXT(C53,"mmmm")</f>
        <v>September</v>
      </c>
      <c r="E53" t="s">
        <v>19</v>
      </c>
      <c r="F53" t="s">
        <v>20</v>
      </c>
      <c r="G53" t="s">
        <v>17</v>
      </c>
      <c r="H53">
        <v>7</v>
      </c>
      <c r="I53">
        <v>22000</v>
      </c>
      <c r="J53" s="3">
        <v>165000</v>
      </c>
      <c r="K53" s="2">
        <f t="shared" si="0"/>
        <v>150000</v>
      </c>
      <c r="L53" s="2">
        <f t="shared" si="1"/>
        <v>110.00000000000001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80B2-169F-4D8D-926F-5AF5653979A5}">
  <dimension ref="A1:P53"/>
  <sheetViews>
    <sheetView workbookViewId="0">
      <selection sqref="A1:G1"/>
    </sheetView>
  </sheetViews>
  <sheetFormatPr defaultRowHeight="15"/>
  <cols>
    <col min="2" max="2" width="11.42578125" bestFit="1" customWidth="1"/>
    <col min="13" max="13" width="11.7109375" bestFit="1" customWidth="1"/>
    <col min="14" max="14" width="18.42578125" bestFit="1" customWidth="1"/>
    <col min="15" max="15" width="15.85546875" bestFit="1" customWidth="1"/>
    <col min="16" max="17" width="20.42578125" bestFit="1" customWidth="1"/>
  </cols>
  <sheetData>
    <row r="1" spans="1:16" ht="18.75">
      <c r="A1" s="9" t="s">
        <v>49</v>
      </c>
      <c r="B1" s="10"/>
      <c r="C1" s="10"/>
      <c r="D1" s="10"/>
      <c r="E1" s="10"/>
      <c r="F1" s="10"/>
      <c r="G1" s="11"/>
      <c r="M1" s="4" t="s">
        <v>4</v>
      </c>
      <c r="N1" t="s">
        <v>50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M3" s="4" t="s">
        <v>5</v>
      </c>
      <c r="N3" s="4" t="s">
        <v>6</v>
      </c>
      <c r="O3" t="s">
        <v>51</v>
      </c>
      <c r="P3" t="s">
        <v>13</v>
      </c>
    </row>
    <row r="4" spans="1:16">
      <c r="A4">
        <v>1001</v>
      </c>
      <c r="B4" s="1">
        <v>46235</v>
      </c>
      <c r="C4" s="1" t="str">
        <f>TEXT(B4,"mmmm")</f>
        <v>August</v>
      </c>
      <c r="D4" t="s">
        <v>15</v>
      </c>
      <c r="E4" t="s">
        <v>16</v>
      </c>
      <c r="F4" t="s">
        <v>17</v>
      </c>
      <c r="G4">
        <v>3</v>
      </c>
      <c r="H4">
        <v>55000</v>
      </c>
      <c r="I4" s="3">
        <v>165000</v>
      </c>
      <c r="J4" s="2">
        <f>IF(D4 = "Laptop",200000,IF( D4 = "Mobile",150000,IF(D4 = "Tablet",100000,IF(D4 = "Headphones",30000,""))))</f>
        <v>200000</v>
      </c>
      <c r="K4" s="2">
        <f>I4/J4*100</f>
        <v>82.5</v>
      </c>
      <c r="M4" t="s">
        <v>23</v>
      </c>
      <c r="N4" t="s">
        <v>26</v>
      </c>
      <c r="O4" s="6">
        <v>14</v>
      </c>
      <c r="P4" s="3">
        <v>330000</v>
      </c>
    </row>
    <row r="5" spans="1:16">
      <c r="A5">
        <v>1002</v>
      </c>
      <c r="B5" s="1">
        <v>46236</v>
      </c>
      <c r="C5" s="1" t="str">
        <f>TEXT(B5,"mmmm")</f>
        <v>August</v>
      </c>
      <c r="D5" t="s">
        <v>19</v>
      </c>
      <c r="E5" t="s">
        <v>20</v>
      </c>
      <c r="F5" t="s">
        <v>21</v>
      </c>
      <c r="G5">
        <v>5</v>
      </c>
      <c r="H5">
        <v>22000</v>
      </c>
      <c r="I5" s="3">
        <v>165000</v>
      </c>
      <c r="J5" s="2">
        <f t="shared" ref="J5:J53" si="0">IF(D5 = "Laptop",200000,IF( D5 = "Mobile",150000,IF(D5 = "Tablet",100000,IF(D5 = "Headphones",30000,""))))</f>
        <v>150000</v>
      </c>
      <c r="K5" s="2">
        <f t="shared" ref="K5:K53" si="1">I5/J5*100</f>
        <v>110.00000000000001</v>
      </c>
      <c r="N5" t="s">
        <v>24</v>
      </c>
      <c r="O5" s="6">
        <v>13</v>
      </c>
      <c r="P5" s="3">
        <v>330000</v>
      </c>
    </row>
    <row r="6" spans="1:16">
      <c r="A6">
        <v>1003</v>
      </c>
      <c r="B6" s="1">
        <v>46237</v>
      </c>
      <c r="C6" s="1" t="str">
        <f>TEXT(B6,"mmmm")</f>
        <v>August</v>
      </c>
      <c r="D6" t="s">
        <v>22</v>
      </c>
      <c r="E6" t="s">
        <v>23</v>
      </c>
      <c r="F6" t="s">
        <v>24</v>
      </c>
      <c r="G6">
        <v>4</v>
      </c>
      <c r="H6">
        <v>18000</v>
      </c>
      <c r="I6" s="3">
        <v>165000</v>
      </c>
      <c r="J6" s="2">
        <f t="shared" si="0"/>
        <v>100000</v>
      </c>
      <c r="K6" s="2">
        <f t="shared" si="1"/>
        <v>165</v>
      </c>
      <c r="N6" t="s">
        <v>17</v>
      </c>
      <c r="O6" s="6">
        <v>15</v>
      </c>
      <c r="P6" s="3">
        <v>330000</v>
      </c>
    </row>
    <row r="7" spans="1:16">
      <c r="A7">
        <v>1004</v>
      </c>
      <c r="B7" s="1">
        <v>46238</v>
      </c>
      <c r="C7" s="1" t="str">
        <f>TEXT(B7,"mmmm")</f>
        <v>August</v>
      </c>
      <c r="D7" t="s">
        <v>18</v>
      </c>
      <c r="E7" t="s">
        <v>25</v>
      </c>
      <c r="F7" t="s">
        <v>26</v>
      </c>
      <c r="G7">
        <v>8</v>
      </c>
      <c r="H7">
        <v>2500</v>
      </c>
      <c r="I7" s="3">
        <v>165000</v>
      </c>
      <c r="J7" s="2">
        <f t="shared" si="0"/>
        <v>30000</v>
      </c>
      <c r="K7" s="2">
        <f t="shared" si="1"/>
        <v>550</v>
      </c>
      <c r="M7" t="s">
        <v>52</v>
      </c>
      <c r="O7" s="6">
        <v>42</v>
      </c>
      <c r="P7" s="3">
        <v>990000</v>
      </c>
    </row>
    <row r="8" spans="1:16">
      <c r="A8">
        <v>1005</v>
      </c>
      <c r="B8" s="1">
        <v>46239</v>
      </c>
      <c r="C8" s="1" t="str">
        <f>TEXT(B8,"mmmm")</f>
        <v>August</v>
      </c>
      <c r="D8" t="s">
        <v>15</v>
      </c>
      <c r="E8" t="s">
        <v>20</v>
      </c>
      <c r="F8" t="s">
        <v>17</v>
      </c>
      <c r="G8">
        <v>2</v>
      </c>
      <c r="H8">
        <v>55000</v>
      </c>
      <c r="I8" s="3">
        <v>165000</v>
      </c>
      <c r="J8" s="2">
        <f t="shared" si="0"/>
        <v>200000</v>
      </c>
      <c r="K8" s="2">
        <f t="shared" si="1"/>
        <v>82.5</v>
      </c>
      <c r="M8" t="s">
        <v>16</v>
      </c>
      <c r="N8" t="s">
        <v>26</v>
      </c>
      <c r="O8" s="6">
        <v>12</v>
      </c>
      <c r="P8" s="3">
        <v>330000</v>
      </c>
    </row>
    <row r="9" spans="1:16">
      <c r="A9">
        <v>1006</v>
      </c>
      <c r="B9" s="1">
        <v>46240</v>
      </c>
      <c r="C9" s="1" t="str">
        <f>TEXT(B9,"mmmm")</f>
        <v>August</v>
      </c>
      <c r="D9" t="s">
        <v>19</v>
      </c>
      <c r="E9" t="s">
        <v>16</v>
      </c>
      <c r="F9" t="s">
        <v>24</v>
      </c>
      <c r="G9">
        <v>7</v>
      </c>
      <c r="H9">
        <v>22000</v>
      </c>
      <c r="I9" s="3">
        <v>165000</v>
      </c>
      <c r="J9" s="2">
        <f t="shared" si="0"/>
        <v>150000</v>
      </c>
      <c r="K9" s="2">
        <f t="shared" si="1"/>
        <v>110.00000000000001</v>
      </c>
      <c r="N9" t="s">
        <v>17</v>
      </c>
      <c r="O9" s="6">
        <v>15</v>
      </c>
      <c r="P9" s="3">
        <v>330000</v>
      </c>
    </row>
    <row r="10" spans="1:16">
      <c r="A10">
        <v>1007</v>
      </c>
      <c r="B10" s="1">
        <v>46241</v>
      </c>
      <c r="C10" s="1" t="str">
        <f>TEXT(B10,"mmmm")</f>
        <v>August</v>
      </c>
      <c r="D10" t="s">
        <v>22</v>
      </c>
      <c r="E10" t="s">
        <v>25</v>
      </c>
      <c r="F10" t="s">
        <v>21</v>
      </c>
      <c r="G10">
        <v>6</v>
      </c>
      <c r="H10">
        <v>18000</v>
      </c>
      <c r="I10" s="3">
        <v>165000</v>
      </c>
      <c r="J10" s="2">
        <f t="shared" si="0"/>
        <v>100000</v>
      </c>
      <c r="K10" s="2">
        <f t="shared" si="1"/>
        <v>165</v>
      </c>
      <c r="N10" t="s">
        <v>24</v>
      </c>
      <c r="O10" s="6">
        <v>7</v>
      </c>
      <c r="P10" s="3">
        <v>165000</v>
      </c>
    </row>
    <row r="11" spans="1:16">
      <c r="A11">
        <v>1008</v>
      </c>
      <c r="B11" s="1">
        <v>46242</v>
      </c>
      <c r="C11" s="1" t="str">
        <f>TEXT(B11,"mmmm")</f>
        <v>August</v>
      </c>
      <c r="D11" t="s">
        <v>18</v>
      </c>
      <c r="E11" t="s">
        <v>23</v>
      </c>
      <c r="F11" t="s">
        <v>26</v>
      </c>
      <c r="G11">
        <v>10</v>
      </c>
      <c r="H11">
        <v>2500</v>
      </c>
      <c r="I11" s="3">
        <v>165000</v>
      </c>
      <c r="J11" s="2">
        <f t="shared" si="0"/>
        <v>30000</v>
      </c>
      <c r="K11" s="2">
        <f t="shared" si="1"/>
        <v>550</v>
      </c>
      <c r="N11" t="s">
        <v>21</v>
      </c>
      <c r="O11" s="6">
        <v>8</v>
      </c>
      <c r="P11" s="3">
        <v>165000</v>
      </c>
    </row>
    <row r="12" spans="1:16">
      <c r="A12">
        <v>1009</v>
      </c>
      <c r="B12" s="1">
        <v>46243</v>
      </c>
      <c r="C12" s="1" t="str">
        <f>TEXT(B12,"mmmm")</f>
        <v>August</v>
      </c>
      <c r="D12" t="s">
        <v>15</v>
      </c>
      <c r="E12" t="s">
        <v>23</v>
      </c>
      <c r="F12" t="s">
        <v>24</v>
      </c>
      <c r="G12">
        <v>4</v>
      </c>
      <c r="H12">
        <v>55000</v>
      </c>
      <c r="I12" s="3">
        <v>165000</v>
      </c>
      <c r="J12" s="2">
        <f t="shared" si="0"/>
        <v>200000</v>
      </c>
      <c r="K12" s="2">
        <f t="shared" si="1"/>
        <v>82.5</v>
      </c>
      <c r="M12" t="s">
        <v>53</v>
      </c>
      <c r="O12" s="6">
        <v>42</v>
      </c>
      <c r="P12" s="3">
        <v>990000</v>
      </c>
    </row>
    <row r="13" spans="1:16">
      <c r="A13">
        <v>1010</v>
      </c>
      <c r="B13" s="1">
        <v>46244</v>
      </c>
      <c r="C13" s="1" t="str">
        <f>TEXT(B13,"mmmm")</f>
        <v>August</v>
      </c>
      <c r="D13" t="s">
        <v>19</v>
      </c>
      <c r="E13" t="s">
        <v>25</v>
      </c>
      <c r="F13" t="s">
        <v>17</v>
      </c>
      <c r="G13">
        <v>3</v>
      </c>
      <c r="H13">
        <v>22000</v>
      </c>
      <c r="I13" s="3">
        <v>165000</v>
      </c>
      <c r="J13" s="2">
        <f t="shared" si="0"/>
        <v>150000</v>
      </c>
      <c r="K13" s="2">
        <f t="shared" si="1"/>
        <v>110.00000000000001</v>
      </c>
      <c r="M13" t="s">
        <v>20</v>
      </c>
      <c r="N13" t="s">
        <v>17</v>
      </c>
      <c r="O13" s="6">
        <v>20</v>
      </c>
      <c r="P13" s="3">
        <v>495000</v>
      </c>
    </row>
    <row r="14" spans="1:16">
      <c r="A14">
        <v>1011</v>
      </c>
      <c r="B14" s="1">
        <v>46245</v>
      </c>
      <c r="C14" s="1" t="str">
        <f>TEXT(B14,"mmmm")</f>
        <v>August</v>
      </c>
      <c r="D14" t="s">
        <v>22</v>
      </c>
      <c r="E14" t="s">
        <v>16</v>
      </c>
      <c r="F14" t="s">
        <v>26</v>
      </c>
      <c r="G14">
        <v>5</v>
      </c>
      <c r="H14">
        <v>18000</v>
      </c>
      <c r="I14" s="3">
        <v>165000</v>
      </c>
      <c r="J14" s="2">
        <f t="shared" si="0"/>
        <v>100000</v>
      </c>
      <c r="K14" s="2">
        <f t="shared" si="1"/>
        <v>165</v>
      </c>
      <c r="N14" t="s">
        <v>21</v>
      </c>
      <c r="O14" s="6">
        <v>10</v>
      </c>
      <c r="P14" s="3">
        <v>330000</v>
      </c>
    </row>
    <row r="15" spans="1:16">
      <c r="A15">
        <v>1012</v>
      </c>
      <c r="B15" s="1">
        <v>46246</v>
      </c>
      <c r="C15" s="1" t="str">
        <f>TEXT(B15,"mmmm")</f>
        <v>August</v>
      </c>
      <c r="D15" t="s">
        <v>18</v>
      </c>
      <c r="E15" t="s">
        <v>20</v>
      </c>
      <c r="F15" t="s">
        <v>21</v>
      </c>
      <c r="G15">
        <v>12</v>
      </c>
      <c r="H15">
        <v>2500</v>
      </c>
      <c r="I15" s="3">
        <v>165000</v>
      </c>
      <c r="J15" s="2">
        <f t="shared" si="0"/>
        <v>30000</v>
      </c>
      <c r="K15" s="2">
        <f t="shared" si="1"/>
        <v>550</v>
      </c>
      <c r="N15" t="s">
        <v>24</v>
      </c>
      <c r="O15" s="6">
        <v>4</v>
      </c>
      <c r="P15" s="3">
        <v>165000</v>
      </c>
    </row>
    <row r="16" spans="1:16">
      <c r="A16">
        <v>1013</v>
      </c>
      <c r="B16" s="1">
        <v>46247</v>
      </c>
      <c r="C16" s="1" t="str">
        <f>TEXT(B16,"mmmm")</f>
        <v>August</v>
      </c>
      <c r="D16" t="s">
        <v>15</v>
      </c>
      <c r="E16" t="s">
        <v>25</v>
      </c>
      <c r="F16" t="s">
        <v>21</v>
      </c>
      <c r="G16">
        <v>2</v>
      </c>
      <c r="H16">
        <v>55000</v>
      </c>
      <c r="I16" s="3">
        <v>165000</v>
      </c>
      <c r="J16" s="2">
        <f t="shared" si="0"/>
        <v>200000</v>
      </c>
      <c r="K16" s="2">
        <f t="shared" si="1"/>
        <v>82.5</v>
      </c>
      <c r="N16" t="s">
        <v>26</v>
      </c>
      <c r="O16" s="6">
        <v>6</v>
      </c>
      <c r="P16" s="3">
        <v>165000</v>
      </c>
    </row>
    <row r="17" spans="1:16">
      <c r="A17">
        <v>1014</v>
      </c>
      <c r="B17" s="1">
        <v>46248</v>
      </c>
      <c r="C17" s="1" t="str">
        <f>TEXT(B17,"mmmm")</f>
        <v>August</v>
      </c>
      <c r="D17" t="s">
        <v>19</v>
      </c>
      <c r="E17" t="s">
        <v>23</v>
      </c>
      <c r="F17" t="s">
        <v>26</v>
      </c>
      <c r="G17">
        <v>6</v>
      </c>
      <c r="H17">
        <v>22000</v>
      </c>
      <c r="I17" s="3">
        <v>165000</v>
      </c>
      <c r="J17" s="2">
        <f t="shared" si="0"/>
        <v>150000</v>
      </c>
      <c r="K17" s="2">
        <f t="shared" si="1"/>
        <v>110.00000000000001</v>
      </c>
      <c r="M17" t="s">
        <v>54</v>
      </c>
      <c r="O17" s="6">
        <v>40</v>
      </c>
      <c r="P17" s="3">
        <v>1155000</v>
      </c>
    </row>
    <row r="18" spans="1:16">
      <c r="A18">
        <v>1015</v>
      </c>
      <c r="B18" s="1">
        <v>46249</v>
      </c>
      <c r="C18" s="1" t="str">
        <f>TEXT(B18,"mmmm")</f>
        <v>August</v>
      </c>
      <c r="D18" t="s">
        <v>22</v>
      </c>
      <c r="E18" t="s">
        <v>20</v>
      </c>
      <c r="F18" t="s">
        <v>17</v>
      </c>
      <c r="G18">
        <v>7</v>
      </c>
      <c r="H18">
        <v>18000</v>
      </c>
      <c r="I18" s="3">
        <v>165000</v>
      </c>
      <c r="J18" s="2">
        <f t="shared" si="0"/>
        <v>100000</v>
      </c>
      <c r="K18" s="2">
        <f t="shared" si="1"/>
        <v>165</v>
      </c>
      <c r="M18" t="s">
        <v>25</v>
      </c>
      <c r="N18" t="s">
        <v>24</v>
      </c>
      <c r="O18" s="6">
        <v>11</v>
      </c>
      <c r="P18" s="3">
        <v>330000</v>
      </c>
    </row>
    <row r="19" spans="1:16">
      <c r="A19">
        <v>1016</v>
      </c>
      <c r="B19" s="1">
        <v>46250</v>
      </c>
      <c r="C19" s="1" t="str">
        <f>TEXT(B19,"mmmm")</f>
        <v>August</v>
      </c>
      <c r="D19" t="s">
        <v>18</v>
      </c>
      <c r="E19" t="s">
        <v>16</v>
      </c>
      <c r="F19" t="s">
        <v>24</v>
      </c>
      <c r="G19">
        <v>9</v>
      </c>
      <c r="H19">
        <v>2500</v>
      </c>
      <c r="I19" s="3">
        <v>165000</v>
      </c>
      <c r="J19" s="2">
        <f t="shared" si="0"/>
        <v>30000</v>
      </c>
      <c r="K19" s="2">
        <f t="shared" si="1"/>
        <v>550</v>
      </c>
      <c r="N19" t="s">
        <v>21</v>
      </c>
      <c r="O19" s="6">
        <v>10</v>
      </c>
      <c r="P19" s="3">
        <v>330000</v>
      </c>
    </row>
    <row r="20" spans="1:16">
      <c r="A20">
        <v>1017</v>
      </c>
      <c r="B20" s="1">
        <v>46251</v>
      </c>
      <c r="C20" s="1" t="str">
        <f>TEXT(B20,"mmmm")</f>
        <v>August</v>
      </c>
      <c r="D20" t="s">
        <v>15</v>
      </c>
      <c r="E20" t="s">
        <v>16</v>
      </c>
      <c r="F20" t="s">
        <v>26</v>
      </c>
      <c r="G20">
        <v>5</v>
      </c>
      <c r="H20">
        <v>55000</v>
      </c>
      <c r="I20" s="3">
        <v>165000</v>
      </c>
      <c r="J20" s="2">
        <f t="shared" si="0"/>
        <v>200000</v>
      </c>
      <c r="K20" s="2">
        <f t="shared" si="1"/>
        <v>82.5</v>
      </c>
      <c r="N20" t="s">
        <v>26</v>
      </c>
      <c r="O20" s="6">
        <v>4</v>
      </c>
      <c r="P20" s="3">
        <v>165000</v>
      </c>
    </row>
    <row r="21" spans="1:16">
      <c r="A21">
        <v>1018</v>
      </c>
      <c r="B21" s="1">
        <v>46252</v>
      </c>
      <c r="C21" s="1" t="str">
        <f>TEXT(B21,"mmmm")</f>
        <v>August</v>
      </c>
      <c r="D21" t="s">
        <v>19</v>
      </c>
      <c r="E21" t="s">
        <v>20</v>
      </c>
      <c r="F21" t="s">
        <v>24</v>
      </c>
      <c r="G21">
        <v>4</v>
      </c>
      <c r="H21">
        <v>22000</v>
      </c>
      <c r="I21" s="3">
        <v>165000</v>
      </c>
      <c r="J21" s="2">
        <f t="shared" si="0"/>
        <v>150000</v>
      </c>
      <c r="K21" s="2">
        <f t="shared" si="1"/>
        <v>110.00000000000001</v>
      </c>
      <c r="N21" t="s">
        <v>17</v>
      </c>
      <c r="O21" s="6">
        <v>3</v>
      </c>
      <c r="P21" s="3">
        <v>165000</v>
      </c>
    </row>
    <row r="22" spans="1:16">
      <c r="A22">
        <v>1019</v>
      </c>
      <c r="B22" s="1">
        <v>46253</v>
      </c>
      <c r="C22" s="1" t="str">
        <f>TEXT(B22,"mmmm")</f>
        <v>August</v>
      </c>
      <c r="D22" t="s">
        <v>22</v>
      </c>
      <c r="E22" t="s">
        <v>23</v>
      </c>
      <c r="F22" t="s">
        <v>17</v>
      </c>
      <c r="G22">
        <v>8</v>
      </c>
      <c r="H22">
        <v>18000</v>
      </c>
      <c r="I22" s="3">
        <v>165000</v>
      </c>
      <c r="J22" s="2">
        <f t="shared" si="0"/>
        <v>100000</v>
      </c>
      <c r="K22" s="2">
        <f t="shared" si="1"/>
        <v>165</v>
      </c>
      <c r="M22" t="s">
        <v>55</v>
      </c>
      <c r="O22" s="6">
        <v>28</v>
      </c>
      <c r="P22" s="3">
        <v>990000</v>
      </c>
    </row>
    <row r="23" spans="1:16">
      <c r="A23">
        <v>1020</v>
      </c>
      <c r="B23" s="1">
        <v>46254</v>
      </c>
      <c r="C23" s="1" t="str">
        <f>TEXT(B23,"mmmm")</f>
        <v>August</v>
      </c>
      <c r="D23" t="s">
        <v>18</v>
      </c>
      <c r="E23" t="s">
        <v>25</v>
      </c>
      <c r="F23" t="s">
        <v>21</v>
      </c>
      <c r="G23">
        <v>15</v>
      </c>
      <c r="H23">
        <v>2500</v>
      </c>
      <c r="I23" s="3">
        <v>165000</v>
      </c>
      <c r="J23" s="2">
        <f t="shared" si="0"/>
        <v>30000</v>
      </c>
      <c r="K23" s="2">
        <f t="shared" si="1"/>
        <v>550</v>
      </c>
      <c r="M23" t="s">
        <v>27</v>
      </c>
      <c r="O23" s="6">
        <v>152</v>
      </c>
      <c r="P23" s="3">
        <v>4125000</v>
      </c>
    </row>
    <row r="24" spans="1:16">
      <c r="A24">
        <v>1021</v>
      </c>
      <c r="B24" s="1">
        <v>46255</v>
      </c>
      <c r="C24" s="1" t="str">
        <f>TEXT(B24,"mmmm")</f>
        <v>August</v>
      </c>
      <c r="D24" t="s">
        <v>15</v>
      </c>
      <c r="E24" t="s">
        <v>20</v>
      </c>
      <c r="F24" t="s">
        <v>24</v>
      </c>
      <c r="G24">
        <v>3</v>
      </c>
      <c r="H24">
        <v>55000</v>
      </c>
      <c r="I24" s="3">
        <v>165000</v>
      </c>
      <c r="J24" s="2">
        <f t="shared" si="0"/>
        <v>200000</v>
      </c>
      <c r="K24" s="2">
        <f t="shared" si="1"/>
        <v>82.5</v>
      </c>
    </row>
    <row r="25" spans="1:16">
      <c r="A25">
        <v>1022</v>
      </c>
      <c r="B25" s="1">
        <v>46256</v>
      </c>
      <c r="C25" s="1" t="str">
        <f>TEXT(B25,"mmmm")</f>
        <v>August</v>
      </c>
      <c r="D25" t="s">
        <v>19</v>
      </c>
      <c r="E25" t="s">
        <v>16</v>
      </c>
      <c r="F25" t="s">
        <v>21</v>
      </c>
      <c r="G25">
        <v>8</v>
      </c>
      <c r="H25">
        <v>22000</v>
      </c>
      <c r="I25" s="3">
        <v>165000</v>
      </c>
      <c r="J25" s="2">
        <f t="shared" si="0"/>
        <v>150000</v>
      </c>
      <c r="K25" s="2">
        <f t="shared" si="1"/>
        <v>110.00000000000001</v>
      </c>
    </row>
    <row r="26" spans="1:16">
      <c r="A26">
        <v>1023</v>
      </c>
      <c r="B26" s="1">
        <v>46257</v>
      </c>
      <c r="C26" s="1" t="str">
        <f>TEXT(B26,"mmmm")</f>
        <v>August</v>
      </c>
      <c r="D26" t="s">
        <v>22</v>
      </c>
      <c r="E26" t="s">
        <v>25</v>
      </c>
      <c r="F26" t="s">
        <v>26</v>
      </c>
      <c r="G26">
        <v>4</v>
      </c>
      <c r="H26">
        <v>18000</v>
      </c>
      <c r="I26" s="3">
        <v>165000</v>
      </c>
      <c r="J26" s="2">
        <f t="shared" si="0"/>
        <v>100000</v>
      </c>
      <c r="K26" s="2">
        <f t="shared" si="1"/>
        <v>165</v>
      </c>
    </row>
    <row r="27" spans="1:16">
      <c r="A27">
        <v>1024</v>
      </c>
      <c r="B27" s="1">
        <v>46258</v>
      </c>
      <c r="C27" s="1" t="str">
        <f>TEXT(B27,"mmmm")</f>
        <v>August</v>
      </c>
      <c r="D27" t="s">
        <v>18</v>
      </c>
      <c r="E27" t="s">
        <v>23</v>
      </c>
      <c r="F27" t="s">
        <v>17</v>
      </c>
      <c r="G27">
        <v>11</v>
      </c>
      <c r="H27">
        <v>2500</v>
      </c>
      <c r="I27" s="3">
        <v>165000</v>
      </c>
      <c r="J27" s="2">
        <f t="shared" si="0"/>
        <v>30000</v>
      </c>
      <c r="K27" s="2">
        <f t="shared" si="1"/>
        <v>550</v>
      </c>
    </row>
    <row r="28" spans="1:16">
      <c r="A28">
        <v>1025</v>
      </c>
      <c r="B28" s="1">
        <v>46259</v>
      </c>
      <c r="C28" s="1" t="str">
        <f>TEXT(B28,"mmmm")</f>
        <v>August</v>
      </c>
      <c r="D28" t="s">
        <v>15</v>
      </c>
      <c r="E28" t="s">
        <v>23</v>
      </c>
      <c r="F28" t="s">
        <v>21</v>
      </c>
      <c r="G28">
        <v>2</v>
      </c>
      <c r="H28">
        <v>55000</v>
      </c>
      <c r="I28" s="3">
        <v>165000</v>
      </c>
      <c r="J28" s="2">
        <f t="shared" si="0"/>
        <v>200000</v>
      </c>
      <c r="K28" s="2">
        <f t="shared" si="1"/>
        <v>82.5</v>
      </c>
    </row>
    <row r="29" spans="1:16">
      <c r="A29">
        <v>1026</v>
      </c>
      <c r="B29" s="1">
        <v>46260</v>
      </c>
      <c r="C29" s="1" t="str">
        <f>TEXT(B29,"mmmm")</f>
        <v>August</v>
      </c>
      <c r="D29" t="s">
        <v>19</v>
      </c>
      <c r="E29" t="s">
        <v>25</v>
      </c>
      <c r="F29" t="s">
        <v>24</v>
      </c>
      <c r="G29">
        <v>5</v>
      </c>
      <c r="H29">
        <v>22000</v>
      </c>
      <c r="I29" s="3">
        <v>165000</v>
      </c>
      <c r="J29" s="2">
        <f t="shared" si="0"/>
        <v>150000</v>
      </c>
      <c r="K29" s="2">
        <f t="shared" si="1"/>
        <v>110.00000000000001</v>
      </c>
    </row>
    <row r="30" spans="1:16">
      <c r="A30">
        <v>1027</v>
      </c>
      <c r="B30" s="1">
        <v>46261</v>
      </c>
      <c r="C30" s="1" t="str">
        <f>TEXT(B30,"mmmm")</f>
        <v>August</v>
      </c>
      <c r="D30" t="s">
        <v>22</v>
      </c>
      <c r="E30" t="s">
        <v>16</v>
      </c>
      <c r="F30" t="s">
        <v>17</v>
      </c>
      <c r="G30">
        <v>6</v>
      </c>
      <c r="H30">
        <v>18000</v>
      </c>
      <c r="I30" s="3">
        <v>165000</v>
      </c>
      <c r="J30" s="2">
        <f t="shared" si="0"/>
        <v>100000</v>
      </c>
      <c r="K30" s="2">
        <f t="shared" si="1"/>
        <v>165</v>
      </c>
    </row>
    <row r="31" spans="1:16">
      <c r="A31">
        <v>1028</v>
      </c>
      <c r="B31" s="1">
        <v>46262</v>
      </c>
      <c r="C31" s="1" t="str">
        <f>TEXT(B31,"mmmm")</f>
        <v>August</v>
      </c>
      <c r="D31" t="s">
        <v>18</v>
      </c>
      <c r="E31" t="s">
        <v>20</v>
      </c>
      <c r="F31" t="s">
        <v>26</v>
      </c>
      <c r="G31">
        <v>14</v>
      </c>
      <c r="H31">
        <v>2500</v>
      </c>
      <c r="I31" s="3">
        <v>165000</v>
      </c>
      <c r="J31" s="2">
        <f t="shared" si="0"/>
        <v>30000</v>
      </c>
      <c r="K31" s="2">
        <f t="shared" si="1"/>
        <v>550</v>
      </c>
    </row>
    <row r="32" spans="1:16">
      <c r="A32">
        <v>1029</v>
      </c>
      <c r="B32" s="1">
        <v>46263</v>
      </c>
      <c r="C32" s="1" t="str">
        <f>TEXT(B32,"mmmm")</f>
        <v>August</v>
      </c>
      <c r="D32" t="s">
        <v>15</v>
      </c>
      <c r="E32" t="s">
        <v>25</v>
      </c>
      <c r="F32" t="s">
        <v>26</v>
      </c>
      <c r="G32">
        <v>4</v>
      </c>
      <c r="H32">
        <v>55000</v>
      </c>
      <c r="I32" s="3">
        <v>165000</v>
      </c>
      <c r="J32" s="2">
        <f t="shared" si="0"/>
        <v>200000</v>
      </c>
      <c r="K32" s="2">
        <f t="shared" si="1"/>
        <v>82.5</v>
      </c>
    </row>
    <row r="33" spans="1:11">
      <c r="A33">
        <v>1030</v>
      </c>
      <c r="B33" s="1">
        <v>46264</v>
      </c>
      <c r="C33" s="1" t="str">
        <f>TEXT(B33,"mmmm")</f>
        <v>August</v>
      </c>
      <c r="D33" t="s">
        <v>19</v>
      </c>
      <c r="E33" t="s">
        <v>23</v>
      </c>
      <c r="F33" t="s">
        <v>17</v>
      </c>
      <c r="G33">
        <v>7</v>
      </c>
      <c r="H33">
        <v>22000</v>
      </c>
      <c r="I33" s="3">
        <v>165000</v>
      </c>
      <c r="J33" s="2">
        <f t="shared" si="0"/>
        <v>150000</v>
      </c>
      <c r="K33" s="2">
        <f t="shared" si="1"/>
        <v>110.00000000000001</v>
      </c>
    </row>
    <row r="34" spans="1:11">
      <c r="A34">
        <v>1031</v>
      </c>
      <c r="B34" s="1">
        <v>46265</v>
      </c>
      <c r="C34" s="1" t="str">
        <f>TEXT(B34,"mmmm")</f>
        <v>August</v>
      </c>
      <c r="D34" t="s">
        <v>22</v>
      </c>
      <c r="E34" t="s">
        <v>20</v>
      </c>
      <c r="F34" t="s">
        <v>21</v>
      </c>
      <c r="G34">
        <v>5</v>
      </c>
      <c r="H34">
        <v>18000</v>
      </c>
      <c r="I34" s="3">
        <v>165000</v>
      </c>
      <c r="J34" s="2">
        <f t="shared" si="0"/>
        <v>100000</v>
      </c>
      <c r="K34" s="2">
        <f t="shared" si="1"/>
        <v>165</v>
      </c>
    </row>
    <row r="35" spans="1:11">
      <c r="A35">
        <v>1032</v>
      </c>
      <c r="B35" s="1">
        <v>46266</v>
      </c>
      <c r="C35" s="1" t="str">
        <f>TEXT(B35,"mmmm")</f>
        <v>September</v>
      </c>
      <c r="D35" t="s">
        <v>18</v>
      </c>
      <c r="E35" t="s">
        <v>16</v>
      </c>
      <c r="F35" t="s">
        <v>24</v>
      </c>
      <c r="G35">
        <v>13</v>
      </c>
      <c r="H35">
        <v>2500</v>
      </c>
      <c r="I35" s="3">
        <v>165000</v>
      </c>
      <c r="J35" s="2">
        <f t="shared" si="0"/>
        <v>30000</v>
      </c>
      <c r="K35" s="2">
        <f t="shared" si="1"/>
        <v>550</v>
      </c>
    </row>
    <row r="36" spans="1:11">
      <c r="A36">
        <v>1033</v>
      </c>
      <c r="B36" s="1">
        <v>46267</v>
      </c>
      <c r="C36" s="1" t="str">
        <f>TEXT(B36,"mmmm")</f>
        <v>September</v>
      </c>
      <c r="D36" t="s">
        <v>15</v>
      </c>
      <c r="E36" t="s">
        <v>16</v>
      </c>
      <c r="F36" t="s">
        <v>21</v>
      </c>
      <c r="G36">
        <v>3</v>
      </c>
      <c r="H36">
        <v>55000</v>
      </c>
      <c r="I36" s="3">
        <v>165000</v>
      </c>
      <c r="J36" s="2">
        <f t="shared" si="0"/>
        <v>200000</v>
      </c>
      <c r="K36" s="2">
        <f t="shared" si="1"/>
        <v>82.5</v>
      </c>
    </row>
    <row r="37" spans="1:11">
      <c r="A37">
        <v>1034</v>
      </c>
      <c r="B37" s="1">
        <v>46268</v>
      </c>
      <c r="C37" s="1" t="str">
        <f>TEXT(B37,"mmmm")</f>
        <v>September</v>
      </c>
      <c r="D37" t="s">
        <v>19</v>
      </c>
      <c r="E37" t="s">
        <v>20</v>
      </c>
      <c r="F37" t="s">
        <v>26</v>
      </c>
      <c r="G37">
        <v>6</v>
      </c>
      <c r="H37">
        <v>22000</v>
      </c>
      <c r="I37" s="3">
        <v>165000</v>
      </c>
      <c r="J37" s="2">
        <f t="shared" si="0"/>
        <v>150000</v>
      </c>
      <c r="K37" s="2">
        <f t="shared" si="1"/>
        <v>110.00000000000001</v>
      </c>
    </row>
    <row r="38" spans="1:11">
      <c r="A38">
        <v>1035</v>
      </c>
      <c r="B38" s="1">
        <v>46269</v>
      </c>
      <c r="C38" s="1" t="str">
        <f>TEXT(B38,"mmmm")</f>
        <v>September</v>
      </c>
      <c r="D38" t="s">
        <v>22</v>
      </c>
      <c r="E38" t="s">
        <v>23</v>
      </c>
      <c r="F38" t="s">
        <v>24</v>
      </c>
      <c r="G38">
        <v>9</v>
      </c>
      <c r="H38">
        <v>18000</v>
      </c>
      <c r="I38" s="3">
        <v>165000</v>
      </c>
      <c r="J38" s="2">
        <f t="shared" si="0"/>
        <v>100000</v>
      </c>
      <c r="K38" s="2">
        <f t="shared" si="1"/>
        <v>165</v>
      </c>
    </row>
    <row r="39" spans="1:11">
      <c r="A39">
        <v>1036</v>
      </c>
      <c r="B39" s="1">
        <v>46270</v>
      </c>
      <c r="C39" s="1" t="str">
        <f>TEXT(B39,"mmmm")</f>
        <v>September</v>
      </c>
      <c r="D39" t="s">
        <v>18</v>
      </c>
      <c r="E39" t="s">
        <v>25</v>
      </c>
      <c r="F39" t="s">
        <v>17</v>
      </c>
      <c r="G39">
        <v>16</v>
      </c>
      <c r="H39">
        <v>2500</v>
      </c>
      <c r="I39" s="3">
        <v>165000</v>
      </c>
      <c r="J39" s="2">
        <f t="shared" si="0"/>
        <v>30000</v>
      </c>
      <c r="K39" s="2">
        <f t="shared" si="1"/>
        <v>550</v>
      </c>
    </row>
    <row r="40" spans="1:11">
      <c r="A40">
        <v>1037</v>
      </c>
      <c r="B40" s="1">
        <v>46271</v>
      </c>
      <c r="C40" s="1" t="str">
        <f>TEXT(B40,"mmmm")</f>
        <v>September</v>
      </c>
      <c r="D40" t="s">
        <v>15</v>
      </c>
      <c r="E40" t="s">
        <v>20</v>
      </c>
      <c r="F40" t="s">
        <v>26</v>
      </c>
      <c r="G40">
        <v>2</v>
      </c>
      <c r="H40">
        <v>55000</v>
      </c>
      <c r="I40" s="3">
        <v>165000</v>
      </c>
      <c r="J40" s="2">
        <f t="shared" si="0"/>
        <v>200000</v>
      </c>
      <c r="K40" s="2">
        <f t="shared" si="1"/>
        <v>82.5</v>
      </c>
    </row>
    <row r="41" spans="1:11">
      <c r="A41">
        <v>1038</v>
      </c>
      <c r="B41" s="1">
        <v>46272</v>
      </c>
      <c r="C41" s="1" t="str">
        <f>TEXT(B41,"mmmm")</f>
        <v>September</v>
      </c>
      <c r="D41" t="s">
        <v>19</v>
      </c>
      <c r="E41" t="s">
        <v>16</v>
      </c>
      <c r="F41" t="s">
        <v>17</v>
      </c>
      <c r="G41">
        <v>9</v>
      </c>
      <c r="H41">
        <v>22000</v>
      </c>
      <c r="I41" s="3">
        <v>165000</v>
      </c>
      <c r="J41" s="2">
        <f t="shared" si="0"/>
        <v>150000</v>
      </c>
      <c r="K41" s="2">
        <f t="shared" si="1"/>
        <v>110.00000000000001</v>
      </c>
    </row>
    <row r="42" spans="1:11">
      <c r="A42">
        <v>1039</v>
      </c>
      <c r="B42" s="1">
        <v>46273</v>
      </c>
      <c r="C42" s="1" t="str">
        <f>TEXT(B42,"mmmm")</f>
        <v>September</v>
      </c>
      <c r="D42" t="s">
        <v>22</v>
      </c>
      <c r="E42" t="s">
        <v>25</v>
      </c>
      <c r="F42" t="s">
        <v>24</v>
      </c>
      <c r="G42">
        <v>6</v>
      </c>
      <c r="H42">
        <v>18000</v>
      </c>
      <c r="I42" s="3">
        <v>165000</v>
      </c>
      <c r="J42" s="2">
        <f t="shared" si="0"/>
        <v>100000</v>
      </c>
      <c r="K42" s="2">
        <f t="shared" si="1"/>
        <v>165</v>
      </c>
    </row>
    <row r="43" spans="1:11">
      <c r="A43">
        <v>1040</v>
      </c>
      <c r="B43" s="1">
        <v>46274</v>
      </c>
      <c r="C43" s="1" t="str">
        <f>TEXT(B43,"mmmm")</f>
        <v>September</v>
      </c>
      <c r="D43" t="s">
        <v>18</v>
      </c>
      <c r="E43" t="s">
        <v>23</v>
      </c>
      <c r="F43" t="s">
        <v>21</v>
      </c>
      <c r="G43">
        <v>12</v>
      </c>
      <c r="H43">
        <v>2500</v>
      </c>
      <c r="I43" s="3">
        <v>165000</v>
      </c>
      <c r="J43" s="2">
        <f t="shared" si="0"/>
        <v>30000</v>
      </c>
      <c r="K43" s="2">
        <f t="shared" si="1"/>
        <v>550</v>
      </c>
    </row>
    <row r="44" spans="1:11">
      <c r="A44">
        <v>1041</v>
      </c>
      <c r="B44" s="1">
        <v>46275</v>
      </c>
      <c r="C44" s="1" t="str">
        <f>TEXT(B44,"mmmm")</f>
        <v>September</v>
      </c>
      <c r="D44" t="s">
        <v>15</v>
      </c>
      <c r="E44" t="s">
        <v>23</v>
      </c>
      <c r="F44" t="s">
        <v>17</v>
      </c>
      <c r="G44">
        <v>5</v>
      </c>
      <c r="H44">
        <v>55000</v>
      </c>
      <c r="I44" s="3">
        <v>165000</v>
      </c>
      <c r="J44" s="2">
        <f t="shared" si="0"/>
        <v>200000</v>
      </c>
      <c r="K44" s="2">
        <f t="shared" si="1"/>
        <v>82.5</v>
      </c>
    </row>
    <row r="45" spans="1:11">
      <c r="A45">
        <v>1042</v>
      </c>
      <c r="B45" s="1">
        <v>46276</v>
      </c>
      <c r="C45" s="1" t="str">
        <f>TEXT(B45,"mmmm")</f>
        <v>September</v>
      </c>
      <c r="D45" t="s">
        <v>19</v>
      </c>
      <c r="E45" t="s">
        <v>25</v>
      </c>
      <c r="F45" t="s">
        <v>21</v>
      </c>
      <c r="G45">
        <v>4</v>
      </c>
      <c r="H45">
        <v>22000</v>
      </c>
      <c r="I45" s="3">
        <v>165000</v>
      </c>
      <c r="J45" s="2">
        <f t="shared" si="0"/>
        <v>150000</v>
      </c>
      <c r="K45" s="2">
        <f t="shared" si="1"/>
        <v>110.00000000000001</v>
      </c>
    </row>
    <row r="46" spans="1:11">
      <c r="A46">
        <v>1043</v>
      </c>
      <c r="B46" s="1">
        <v>46277</v>
      </c>
      <c r="C46" s="1" t="str">
        <f>TEXT(B46,"mmmm")</f>
        <v>September</v>
      </c>
      <c r="D46" t="s">
        <v>22</v>
      </c>
      <c r="E46" t="s">
        <v>16</v>
      </c>
      <c r="F46" t="s">
        <v>26</v>
      </c>
      <c r="G46">
        <v>7</v>
      </c>
      <c r="H46">
        <v>18000</v>
      </c>
      <c r="I46" s="3">
        <v>165000</v>
      </c>
      <c r="J46" s="2">
        <f t="shared" si="0"/>
        <v>100000</v>
      </c>
      <c r="K46" s="2">
        <f t="shared" si="1"/>
        <v>165</v>
      </c>
    </row>
    <row r="47" spans="1:11">
      <c r="A47">
        <v>1044</v>
      </c>
      <c r="B47" s="1">
        <v>46278</v>
      </c>
      <c r="C47" s="1" t="str">
        <f>TEXT(B47,"mmmm")</f>
        <v>September</v>
      </c>
      <c r="D47" t="s">
        <v>18</v>
      </c>
      <c r="E47" t="s">
        <v>20</v>
      </c>
      <c r="F47" t="s">
        <v>24</v>
      </c>
      <c r="G47">
        <v>18</v>
      </c>
      <c r="H47">
        <v>2500</v>
      </c>
      <c r="I47" s="3">
        <v>165000</v>
      </c>
      <c r="J47" s="2">
        <f t="shared" si="0"/>
        <v>30000</v>
      </c>
      <c r="K47" s="2">
        <f t="shared" si="1"/>
        <v>550</v>
      </c>
    </row>
    <row r="48" spans="1:11">
      <c r="A48">
        <v>1045</v>
      </c>
      <c r="B48" s="1">
        <v>46279</v>
      </c>
      <c r="C48" s="1" t="str">
        <f>TEXT(B48,"mmmm")</f>
        <v>September</v>
      </c>
      <c r="D48" t="s">
        <v>15</v>
      </c>
      <c r="E48" t="s">
        <v>25</v>
      </c>
      <c r="F48" t="s">
        <v>24</v>
      </c>
      <c r="G48">
        <v>3</v>
      </c>
      <c r="H48">
        <v>55000</v>
      </c>
      <c r="I48" s="3">
        <v>165000</v>
      </c>
      <c r="J48" s="2">
        <f t="shared" si="0"/>
        <v>200000</v>
      </c>
      <c r="K48" s="2">
        <f t="shared" si="1"/>
        <v>82.5</v>
      </c>
    </row>
    <row r="49" spans="1:11">
      <c r="A49">
        <v>1046</v>
      </c>
      <c r="B49" s="1">
        <v>46280</v>
      </c>
      <c r="C49" s="1" t="str">
        <f>TEXT(B49,"mmmm")</f>
        <v>September</v>
      </c>
      <c r="D49" t="s">
        <v>19</v>
      </c>
      <c r="E49" t="s">
        <v>23</v>
      </c>
      <c r="F49" t="s">
        <v>26</v>
      </c>
      <c r="G49">
        <v>8</v>
      </c>
      <c r="H49">
        <v>22000</v>
      </c>
      <c r="I49" s="3">
        <v>165000</v>
      </c>
      <c r="J49" s="2">
        <f t="shared" si="0"/>
        <v>150000</v>
      </c>
      <c r="K49" s="2">
        <f t="shared" si="1"/>
        <v>110.00000000000001</v>
      </c>
    </row>
    <row r="50" spans="1:11">
      <c r="A50">
        <v>1047</v>
      </c>
      <c r="B50" s="1">
        <v>46281</v>
      </c>
      <c r="C50" s="1" t="str">
        <f>TEXT(B50,"mmmm")</f>
        <v>September</v>
      </c>
      <c r="D50" t="s">
        <v>22</v>
      </c>
      <c r="E50" t="s">
        <v>20</v>
      </c>
      <c r="F50" t="s">
        <v>17</v>
      </c>
      <c r="G50">
        <v>6</v>
      </c>
      <c r="H50">
        <v>18000</v>
      </c>
      <c r="I50" s="3">
        <v>165000</v>
      </c>
      <c r="J50" s="2">
        <f t="shared" si="0"/>
        <v>100000</v>
      </c>
      <c r="K50" s="2">
        <f t="shared" si="1"/>
        <v>165</v>
      </c>
    </row>
    <row r="51" spans="1:11">
      <c r="A51">
        <v>1048</v>
      </c>
      <c r="B51" s="1">
        <v>46282</v>
      </c>
      <c r="C51" s="1" t="str">
        <f>TEXT(B51,"mmmm")</f>
        <v>September</v>
      </c>
      <c r="D51" t="s">
        <v>18</v>
      </c>
      <c r="E51" t="s">
        <v>16</v>
      </c>
      <c r="F51" t="s">
        <v>21</v>
      </c>
      <c r="G51">
        <v>10</v>
      </c>
      <c r="H51">
        <v>2500</v>
      </c>
      <c r="I51" s="3">
        <v>165000</v>
      </c>
      <c r="J51" s="2">
        <f t="shared" si="0"/>
        <v>30000</v>
      </c>
      <c r="K51" s="2">
        <f t="shared" si="1"/>
        <v>550</v>
      </c>
    </row>
    <row r="52" spans="1:11">
      <c r="A52">
        <v>1049</v>
      </c>
      <c r="B52" s="1">
        <v>46283</v>
      </c>
      <c r="C52" s="1" t="str">
        <f>TEXT(B52,"mmmm")</f>
        <v>September</v>
      </c>
      <c r="D52" t="s">
        <v>15</v>
      </c>
      <c r="E52" t="s">
        <v>16</v>
      </c>
      <c r="F52" t="s">
        <v>24</v>
      </c>
      <c r="G52">
        <v>4</v>
      </c>
      <c r="H52">
        <v>55000</v>
      </c>
      <c r="I52" s="3">
        <v>165000</v>
      </c>
      <c r="J52" s="2">
        <f t="shared" si="0"/>
        <v>200000</v>
      </c>
      <c r="K52" s="2">
        <f t="shared" si="1"/>
        <v>82.5</v>
      </c>
    </row>
    <row r="53" spans="1:11">
      <c r="A53">
        <v>1050</v>
      </c>
      <c r="B53" s="1">
        <v>46284</v>
      </c>
      <c r="C53" s="1" t="str">
        <f>TEXT(B53,"mmmm")</f>
        <v>September</v>
      </c>
      <c r="D53" t="s">
        <v>19</v>
      </c>
      <c r="E53" t="s">
        <v>20</v>
      </c>
      <c r="F53" t="s">
        <v>17</v>
      </c>
      <c r="G53">
        <v>7</v>
      </c>
      <c r="H53">
        <v>22000</v>
      </c>
      <c r="I53" s="3">
        <v>165000</v>
      </c>
      <c r="J53" s="2">
        <f t="shared" si="0"/>
        <v>150000</v>
      </c>
      <c r="K53" s="2">
        <f t="shared" si="1"/>
        <v>110.00000000000001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21FC-3491-49A0-B7F9-3EB0BE3ED0E8}">
  <dimension ref="A1:X53"/>
  <sheetViews>
    <sheetView workbookViewId="0">
      <selection sqref="A1:H1"/>
    </sheetView>
  </sheetViews>
  <sheetFormatPr defaultRowHeight="15"/>
  <cols>
    <col min="14" max="14" width="12.85546875" bestFit="1" customWidth="1"/>
    <col min="15" max="15" width="20.42578125" bestFit="1" customWidth="1"/>
    <col min="16" max="16" width="17" bestFit="1" customWidth="1"/>
    <col min="17" max="17" width="20.42578125" bestFit="1" customWidth="1"/>
    <col min="18" max="18" width="17" bestFit="1" customWidth="1"/>
    <col min="19" max="19" width="20.42578125" bestFit="1" customWidth="1"/>
    <col min="20" max="20" width="17" bestFit="1" customWidth="1"/>
    <col min="21" max="21" width="20.42578125" bestFit="1" customWidth="1"/>
    <col min="22" max="22" width="17" bestFit="1" customWidth="1"/>
    <col min="23" max="23" width="25.7109375" bestFit="1" customWidth="1"/>
    <col min="24" max="25" width="22.28515625" bestFit="1" customWidth="1"/>
  </cols>
  <sheetData>
    <row r="1" spans="1:24" ht="18.75">
      <c r="A1" s="9" t="s">
        <v>56</v>
      </c>
      <c r="B1" s="10"/>
      <c r="C1" s="10"/>
      <c r="D1" s="10"/>
      <c r="E1" s="10"/>
      <c r="F1" s="10"/>
      <c r="G1" s="10"/>
      <c r="H1" s="11"/>
      <c r="N1" s="4" t="s">
        <v>4</v>
      </c>
      <c r="O1" t="s">
        <v>18</v>
      </c>
    </row>
    <row r="3" spans="1:24">
      <c r="A3" t="s">
        <v>1</v>
      </c>
      <c r="B3" t="s">
        <v>36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O3" s="4" t="s">
        <v>5</v>
      </c>
      <c r="P3" s="4" t="s">
        <v>37</v>
      </c>
    </row>
    <row r="4" spans="1:24">
      <c r="A4">
        <v>1001</v>
      </c>
      <c r="B4" t="s">
        <v>38</v>
      </c>
      <c r="C4" s="1">
        <v>46235</v>
      </c>
      <c r="D4" s="1" t="str">
        <f>TEXT(C4,"mmmm")</f>
        <v>August</v>
      </c>
      <c r="E4" t="s">
        <v>15</v>
      </c>
      <c r="F4" t="s">
        <v>16</v>
      </c>
      <c r="G4" t="s">
        <v>17</v>
      </c>
      <c r="H4">
        <v>3</v>
      </c>
      <c r="I4">
        <v>55000</v>
      </c>
      <c r="J4" s="3">
        <v>165000</v>
      </c>
      <c r="K4" s="2">
        <f>IF(E4 = "Laptop",200000,IF( E4 = "Mobile",150000,IF(E4 = "Tablet",100000,IF(E4 = "Headphones",30000,""))))</f>
        <v>200000</v>
      </c>
      <c r="L4" s="2">
        <f>J4/K4*100</f>
        <v>82.5</v>
      </c>
      <c r="O4" t="s">
        <v>23</v>
      </c>
      <c r="Q4" t="s">
        <v>16</v>
      </c>
      <c r="S4" t="s">
        <v>25</v>
      </c>
      <c r="U4" t="s">
        <v>20</v>
      </c>
      <c r="W4" t="s">
        <v>41</v>
      </c>
      <c r="X4" t="s">
        <v>42</v>
      </c>
    </row>
    <row r="5" spans="1:24">
      <c r="A5">
        <v>1002</v>
      </c>
      <c r="B5" t="s">
        <v>44</v>
      </c>
      <c r="C5" s="1">
        <v>46236</v>
      </c>
      <c r="D5" s="1" t="str">
        <f>TEXT(C5,"mmmm")</f>
        <v>August</v>
      </c>
      <c r="E5" t="s">
        <v>19</v>
      </c>
      <c r="F5" t="s">
        <v>20</v>
      </c>
      <c r="G5" t="s">
        <v>21</v>
      </c>
      <c r="H5">
        <v>5</v>
      </c>
      <c r="I5">
        <v>22000</v>
      </c>
      <c r="J5" s="3">
        <v>165000</v>
      </c>
      <c r="K5" s="2">
        <f t="shared" ref="K5:K53" si="0">IF(E5 = "Laptop",200000,IF( E5 = "Mobile",150000,IF(E5 = "Tablet",100000,IF(E5 = "Headphones",30000,""))))</f>
        <v>150000</v>
      </c>
      <c r="L5" s="2">
        <f t="shared" ref="L5:L53" si="1">J5/K5*100</f>
        <v>110.00000000000001</v>
      </c>
      <c r="N5" s="4" t="s">
        <v>36</v>
      </c>
      <c r="O5" t="s">
        <v>13</v>
      </c>
      <c r="P5" t="s">
        <v>39</v>
      </c>
      <c r="Q5" t="s">
        <v>13</v>
      </c>
      <c r="R5" t="s">
        <v>39</v>
      </c>
      <c r="S5" t="s">
        <v>13</v>
      </c>
      <c r="T5" t="s">
        <v>39</v>
      </c>
      <c r="U5" t="s">
        <v>13</v>
      </c>
      <c r="V5" t="s">
        <v>39</v>
      </c>
    </row>
    <row r="6" spans="1:24">
      <c r="A6">
        <v>1003</v>
      </c>
      <c r="B6" t="s">
        <v>45</v>
      </c>
      <c r="C6" s="1">
        <v>46237</v>
      </c>
      <c r="D6" s="1" t="str">
        <f>TEXT(C6,"mmmm")</f>
        <v>August</v>
      </c>
      <c r="E6" t="s">
        <v>22</v>
      </c>
      <c r="F6" t="s">
        <v>23</v>
      </c>
      <c r="G6" t="s">
        <v>24</v>
      </c>
      <c r="H6">
        <v>4</v>
      </c>
      <c r="I6">
        <v>18000</v>
      </c>
      <c r="J6" s="3">
        <v>165000</v>
      </c>
      <c r="K6" s="2">
        <f t="shared" si="0"/>
        <v>100000</v>
      </c>
      <c r="L6" s="2">
        <f t="shared" si="1"/>
        <v>165</v>
      </c>
      <c r="N6" t="s">
        <v>24</v>
      </c>
      <c r="O6" s="3">
        <v>165000</v>
      </c>
      <c r="P6" s="6">
        <v>1</v>
      </c>
      <c r="Q6" s="3"/>
      <c r="R6" s="6"/>
      <c r="S6" s="3">
        <v>165000</v>
      </c>
      <c r="T6" s="6">
        <v>1</v>
      </c>
      <c r="U6" s="3"/>
      <c r="V6" s="6"/>
      <c r="W6" s="3">
        <v>330000</v>
      </c>
      <c r="X6" s="6">
        <v>2</v>
      </c>
    </row>
    <row r="7" spans="1:24">
      <c r="A7">
        <v>1004</v>
      </c>
      <c r="B7" t="s">
        <v>46</v>
      </c>
      <c r="C7" s="1">
        <v>46238</v>
      </c>
      <c r="D7" s="1" t="str">
        <f>TEXT(C7,"mmmm")</f>
        <v>August</v>
      </c>
      <c r="E7" t="s">
        <v>18</v>
      </c>
      <c r="F7" t="s">
        <v>25</v>
      </c>
      <c r="G7" t="s">
        <v>26</v>
      </c>
      <c r="H7">
        <v>8</v>
      </c>
      <c r="I7">
        <v>2500</v>
      </c>
      <c r="J7" s="3">
        <v>165000</v>
      </c>
      <c r="K7" s="2">
        <f t="shared" si="0"/>
        <v>30000</v>
      </c>
      <c r="L7" s="2">
        <f t="shared" si="1"/>
        <v>550</v>
      </c>
      <c r="N7" t="s">
        <v>44</v>
      </c>
      <c r="O7" s="3"/>
      <c r="P7" s="6"/>
      <c r="Q7" s="3">
        <v>165000</v>
      </c>
      <c r="R7" s="6">
        <v>1</v>
      </c>
      <c r="S7" s="3"/>
      <c r="T7" s="6"/>
      <c r="U7" s="3">
        <v>165000</v>
      </c>
      <c r="V7" s="6">
        <v>1</v>
      </c>
      <c r="W7" s="3">
        <v>330000</v>
      </c>
      <c r="X7" s="6">
        <v>2</v>
      </c>
    </row>
    <row r="8" spans="1:24">
      <c r="A8">
        <v>1005</v>
      </c>
      <c r="B8" t="s">
        <v>47</v>
      </c>
      <c r="C8" s="1">
        <v>46239</v>
      </c>
      <c r="D8" s="1" t="str">
        <f>TEXT(C8,"mmmm")</f>
        <v>August</v>
      </c>
      <c r="E8" t="s">
        <v>15</v>
      </c>
      <c r="F8" t="s">
        <v>20</v>
      </c>
      <c r="G8" t="s">
        <v>17</v>
      </c>
      <c r="H8">
        <v>2</v>
      </c>
      <c r="I8">
        <v>55000</v>
      </c>
      <c r="J8" s="3">
        <v>165000</v>
      </c>
      <c r="K8" s="2">
        <f t="shared" si="0"/>
        <v>200000</v>
      </c>
      <c r="L8" s="2">
        <f t="shared" si="1"/>
        <v>82.5</v>
      </c>
      <c r="N8" t="s">
        <v>46</v>
      </c>
      <c r="O8" s="3">
        <v>165000</v>
      </c>
      <c r="P8" s="6">
        <v>1</v>
      </c>
      <c r="Q8" s="3"/>
      <c r="R8" s="6"/>
      <c r="S8" s="3">
        <v>165000</v>
      </c>
      <c r="T8" s="6">
        <v>1</v>
      </c>
      <c r="U8" s="3">
        <v>165000</v>
      </c>
      <c r="V8" s="6">
        <v>1</v>
      </c>
      <c r="W8" s="3">
        <v>495000</v>
      </c>
      <c r="X8" s="6">
        <v>3</v>
      </c>
    </row>
    <row r="9" spans="1:24">
      <c r="A9">
        <v>1006</v>
      </c>
      <c r="B9" t="s">
        <v>26</v>
      </c>
      <c r="C9" s="1">
        <v>46240</v>
      </c>
      <c r="D9" s="1" t="str">
        <f>TEXT(C9,"mmmm")</f>
        <v>August</v>
      </c>
      <c r="E9" t="s">
        <v>19</v>
      </c>
      <c r="F9" t="s">
        <v>16</v>
      </c>
      <c r="G9" t="s">
        <v>24</v>
      </c>
      <c r="H9">
        <v>7</v>
      </c>
      <c r="I9">
        <v>22000</v>
      </c>
      <c r="J9" s="3">
        <v>165000</v>
      </c>
      <c r="K9" s="2">
        <f t="shared" si="0"/>
        <v>150000</v>
      </c>
      <c r="L9" s="2">
        <f t="shared" si="1"/>
        <v>110.00000000000001</v>
      </c>
      <c r="N9" t="s">
        <v>21</v>
      </c>
      <c r="O9" s="3">
        <v>165000</v>
      </c>
      <c r="P9" s="6">
        <v>1</v>
      </c>
      <c r="Q9" s="3">
        <v>165000</v>
      </c>
      <c r="R9" s="6">
        <v>1</v>
      </c>
      <c r="S9" s="3"/>
      <c r="T9" s="6"/>
      <c r="U9" s="3">
        <v>165000</v>
      </c>
      <c r="V9" s="6">
        <v>1</v>
      </c>
      <c r="W9" s="3">
        <v>495000</v>
      </c>
      <c r="X9" s="6">
        <v>3</v>
      </c>
    </row>
    <row r="10" spans="1:24">
      <c r="A10">
        <v>1007</v>
      </c>
      <c r="B10" t="s">
        <v>48</v>
      </c>
      <c r="C10" s="1">
        <v>46241</v>
      </c>
      <c r="D10" s="1" t="str">
        <f>TEXT(C10,"mmmm")</f>
        <v>August</v>
      </c>
      <c r="E10" t="s">
        <v>22</v>
      </c>
      <c r="F10" t="s">
        <v>25</v>
      </c>
      <c r="G10" t="s">
        <v>21</v>
      </c>
      <c r="H10">
        <v>6</v>
      </c>
      <c r="I10">
        <v>18000</v>
      </c>
      <c r="J10" s="3">
        <v>165000</v>
      </c>
      <c r="K10" s="2">
        <f t="shared" si="0"/>
        <v>100000</v>
      </c>
      <c r="L10" s="2">
        <f t="shared" si="1"/>
        <v>165</v>
      </c>
      <c r="N10" t="s">
        <v>26</v>
      </c>
      <c r="O10" s="3"/>
      <c r="P10" s="6"/>
      <c r="Q10" s="3">
        <v>165000</v>
      </c>
      <c r="R10" s="6">
        <v>1</v>
      </c>
      <c r="S10" s="3">
        <v>165000</v>
      </c>
      <c r="T10" s="6">
        <v>1</v>
      </c>
      <c r="U10" s="3"/>
      <c r="V10" s="6"/>
      <c r="W10" s="3">
        <v>330000</v>
      </c>
      <c r="X10" s="6">
        <v>2</v>
      </c>
    </row>
    <row r="11" spans="1:24">
      <c r="A11">
        <v>1008</v>
      </c>
      <c r="B11" t="s">
        <v>21</v>
      </c>
      <c r="C11" s="1">
        <v>46242</v>
      </c>
      <c r="D11" s="1" t="str">
        <f>TEXT(C11,"mmmm")</f>
        <v>August</v>
      </c>
      <c r="E11" t="s">
        <v>18</v>
      </c>
      <c r="F11" t="s">
        <v>23</v>
      </c>
      <c r="G11" t="s">
        <v>26</v>
      </c>
      <c r="H11">
        <v>10</v>
      </c>
      <c r="I11">
        <v>2500</v>
      </c>
      <c r="J11" s="3">
        <v>165000</v>
      </c>
      <c r="K11" s="2">
        <f t="shared" si="0"/>
        <v>30000</v>
      </c>
      <c r="L11" s="2">
        <f t="shared" si="1"/>
        <v>550</v>
      </c>
      <c r="N11" t="s">
        <v>27</v>
      </c>
      <c r="O11" s="3">
        <v>495000</v>
      </c>
      <c r="P11" s="6">
        <v>3</v>
      </c>
      <c r="Q11" s="3">
        <v>495000</v>
      </c>
      <c r="R11" s="6">
        <v>3</v>
      </c>
      <c r="S11" s="3">
        <v>495000</v>
      </c>
      <c r="T11" s="6">
        <v>3</v>
      </c>
      <c r="U11" s="3">
        <v>495000</v>
      </c>
      <c r="V11" s="6">
        <v>3</v>
      </c>
      <c r="W11" s="3">
        <v>1980000</v>
      </c>
      <c r="X11" s="6">
        <v>12</v>
      </c>
    </row>
    <row r="12" spans="1:24">
      <c r="A12">
        <v>1009</v>
      </c>
      <c r="B12" t="s">
        <v>17</v>
      </c>
      <c r="C12" s="1">
        <v>46243</v>
      </c>
      <c r="D12" s="1" t="str">
        <f>TEXT(C12,"mmmm")</f>
        <v>August</v>
      </c>
      <c r="E12" t="s">
        <v>15</v>
      </c>
      <c r="F12" t="s">
        <v>23</v>
      </c>
      <c r="G12" t="s">
        <v>24</v>
      </c>
      <c r="H12">
        <v>4</v>
      </c>
      <c r="I12">
        <v>55000</v>
      </c>
      <c r="J12" s="3">
        <v>165000</v>
      </c>
      <c r="K12" s="2">
        <f t="shared" si="0"/>
        <v>200000</v>
      </c>
      <c r="L12" s="2">
        <f t="shared" si="1"/>
        <v>82.5</v>
      </c>
    </row>
    <row r="13" spans="1:24">
      <c r="A13">
        <v>1010</v>
      </c>
      <c r="B13" t="s">
        <v>24</v>
      </c>
      <c r="C13" s="1">
        <v>46244</v>
      </c>
      <c r="D13" s="1" t="str">
        <f>TEXT(C13,"mmmm")</f>
        <v>August</v>
      </c>
      <c r="E13" t="s">
        <v>19</v>
      </c>
      <c r="F13" t="s">
        <v>25</v>
      </c>
      <c r="G13" t="s">
        <v>17</v>
      </c>
      <c r="H13">
        <v>3</v>
      </c>
      <c r="I13">
        <v>22000</v>
      </c>
      <c r="J13" s="3">
        <v>165000</v>
      </c>
      <c r="K13" s="2">
        <f t="shared" si="0"/>
        <v>150000</v>
      </c>
      <c r="L13" s="2">
        <f t="shared" si="1"/>
        <v>110.00000000000001</v>
      </c>
    </row>
    <row r="14" spans="1:24">
      <c r="A14">
        <v>1011</v>
      </c>
      <c r="B14" t="s">
        <v>38</v>
      </c>
      <c r="C14" s="1">
        <v>46245</v>
      </c>
      <c r="D14" s="1" t="str">
        <f>TEXT(C14,"mmmm")</f>
        <v>August</v>
      </c>
      <c r="E14" t="s">
        <v>22</v>
      </c>
      <c r="F14" t="s">
        <v>16</v>
      </c>
      <c r="G14" t="s">
        <v>26</v>
      </c>
      <c r="H14">
        <v>5</v>
      </c>
      <c r="I14">
        <v>18000</v>
      </c>
      <c r="J14" s="3">
        <v>165000</v>
      </c>
      <c r="K14" s="2">
        <f t="shared" si="0"/>
        <v>100000</v>
      </c>
      <c r="L14" s="2">
        <f t="shared" si="1"/>
        <v>165</v>
      </c>
    </row>
    <row r="15" spans="1:24">
      <c r="A15">
        <v>1012</v>
      </c>
      <c r="B15" t="s">
        <v>44</v>
      </c>
      <c r="C15" s="1">
        <v>46246</v>
      </c>
      <c r="D15" s="1" t="str">
        <f>TEXT(C15,"mmmm")</f>
        <v>August</v>
      </c>
      <c r="E15" t="s">
        <v>18</v>
      </c>
      <c r="F15" t="s">
        <v>20</v>
      </c>
      <c r="G15" t="s">
        <v>21</v>
      </c>
      <c r="H15">
        <v>12</v>
      </c>
      <c r="I15">
        <v>2500</v>
      </c>
      <c r="J15" s="3">
        <v>165000</v>
      </c>
      <c r="K15" s="2">
        <f t="shared" si="0"/>
        <v>30000</v>
      </c>
      <c r="L15" s="2">
        <f t="shared" si="1"/>
        <v>550</v>
      </c>
    </row>
    <row r="16" spans="1:24">
      <c r="A16">
        <v>1013</v>
      </c>
      <c r="B16" t="s">
        <v>45</v>
      </c>
      <c r="C16" s="1">
        <v>46247</v>
      </c>
      <c r="D16" s="1" t="str">
        <f>TEXT(C16,"mmmm")</f>
        <v>August</v>
      </c>
      <c r="E16" t="s">
        <v>15</v>
      </c>
      <c r="F16" t="s">
        <v>25</v>
      </c>
      <c r="G16" t="s">
        <v>21</v>
      </c>
      <c r="H16">
        <v>2</v>
      </c>
      <c r="I16">
        <v>55000</v>
      </c>
      <c r="J16" s="3">
        <v>165000</v>
      </c>
      <c r="K16" s="2">
        <f t="shared" si="0"/>
        <v>200000</v>
      </c>
      <c r="L16" s="2">
        <f t="shared" si="1"/>
        <v>82.5</v>
      </c>
    </row>
    <row r="17" spans="1:12">
      <c r="A17">
        <v>1014</v>
      </c>
      <c r="B17" t="s">
        <v>46</v>
      </c>
      <c r="C17" s="1">
        <v>46248</v>
      </c>
      <c r="D17" s="1" t="str">
        <f>TEXT(C17,"mmmm")</f>
        <v>August</v>
      </c>
      <c r="E17" t="s">
        <v>19</v>
      </c>
      <c r="F17" t="s">
        <v>23</v>
      </c>
      <c r="G17" t="s">
        <v>26</v>
      </c>
      <c r="H17">
        <v>6</v>
      </c>
      <c r="I17">
        <v>22000</v>
      </c>
      <c r="J17" s="3">
        <v>165000</v>
      </c>
      <c r="K17" s="2">
        <f t="shared" si="0"/>
        <v>150000</v>
      </c>
      <c r="L17" s="2">
        <f t="shared" si="1"/>
        <v>110.00000000000001</v>
      </c>
    </row>
    <row r="18" spans="1:12">
      <c r="A18">
        <v>1015</v>
      </c>
      <c r="B18" t="s">
        <v>47</v>
      </c>
      <c r="C18" s="1">
        <v>46249</v>
      </c>
      <c r="D18" s="1" t="str">
        <f>TEXT(C18,"mmmm")</f>
        <v>August</v>
      </c>
      <c r="E18" t="s">
        <v>22</v>
      </c>
      <c r="F18" t="s">
        <v>20</v>
      </c>
      <c r="G18" t="s">
        <v>17</v>
      </c>
      <c r="H18">
        <v>7</v>
      </c>
      <c r="I18">
        <v>18000</v>
      </c>
      <c r="J18" s="3">
        <v>165000</v>
      </c>
      <c r="K18" s="2">
        <f t="shared" si="0"/>
        <v>100000</v>
      </c>
      <c r="L18" s="2">
        <f t="shared" si="1"/>
        <v>165</v>
      </c>
    </row>
    <row r="19" spans="1:12">
      <c r="A19">
        <v>1016</v>
      </c>
      <c r="B19" t="s">
        <v>26</v>
      </c>
      <c r="C19" s="1">
        <v>46250</v>
      </c>
      <c r="D19" s="1" t="str">
        <f>TEXT(C19,"mmmm")</f>
        <v>August</v>
      </c>
      <c r="E19" t="s">
        <v>18</v>
      </c>
      <c r="F19" t="s">
        <v>16</v>
      </c>
      <c r="G19" t="s">
        <v>24</v>
      </c>
      <c r="H19">
        <v>9</v>
      </c>
      <c r="I19">
        <v>2500</v>
      </c>
      <c r="J19" s="3">
        <v>165000</v>
      </c>
      <c r="K19" s="2">
        <f t="shared" si="0"/>
        <v>30000</v>
      </c>
      <c r="L19" s="2">
        <f t="shared" si="1"/>
        <v>550</v>
      </c>
    </row>
    <row r="20" spans="1:12">
      <c r="A20">
        <v>1017</v>
      </c>
      <c r="B20" t="s">
        <v>48</v>
      </c>
      <c r="C20" s="1">
        <v>46251</v>
      </c>
      <c r="D20" s="1" t="str">
        <f>TEXT(C20,"mmmm")</f>
        <v>August</v>
      </c>
      <c r="E20" t="s">
        <v>15</v>
      </c>
      <c r="F20" t="s">
        <v>16</v>
      </c>
      <c r="G20" t="s">
        <v>26</v>
      </c>
      <c r="H20">
        <v>5</v>
      </c>
      <c r="I20">
        <v>55000</v>
      </c>
      <c r="J20" s="3">
        <v>165000</v>
      </c>
      <c r="K20" s="2">
        <f t="shared" si="0"/>
        <v>200000</v>
      </c>
      <c r="L20" s="2">
        <f t="shared" si="1"/>
        <v>82.5</v>
      </c>
    </row>
    <row r="21" spans="1:12">
      <c r="A21">
        <v>1018</v>
      </c>
      <c r="B21" t="s">
        <v>21</v>
      </c>
      <c r="C21" s="1">
        <v>46252</v>
      </c>
      <c r="D21" s="1" t="str">
        <f>TEXT(C21,"mmmm")</f>
        <v>August</v>
      </c>
      <c r="E21" t="s">
        <v>19</v>
      </c>
      <c r="F21" t="s">
        <v>20</v>
      </c>
      <c r="G21" t="s">
        <v>24</v>
      </c>
      <c r="H21">
        <v>4</v>
      </c>
      <c r="I21">
        <v>22000</v>
      </c>
      <c r="J21" s="3">
        <v>165000</v>
      </c>
      <c r="K21" s="2">
        <f t="shared" si="0"/>
        <v>150000</v>
      </c>
      <c r="L21" s="2">
        <f t="shared" si="1"/>
        <v>110.00000000000001</v>
      </c>
    </row>
    <row r="22" spans="1:12">
      <c r="A22">
        <v>1019</v>
      </c>
      <c r="B22" t="s">
        <v>17</v>
      </c>
      <c r="C22" s="1">
        <v>46253</v>
      </c>
      <c r="D22" s="1" t="str">
        <f>TEXT(C22,"mmmm")</f>
        <v>August</v>
      </c>
      <c r="E22" t="s">
        <v>22</v>
      </c>
      <c r="F22" t="s">
        <v>23</v>
      </c>
      <c r="G22" t="s">
        <v>17</v>
      </c>
      <c r="H22">
        <v>8</v>
      </c>
      <c r="I22">
        <v>18000</v>
      </c>
      <c r="J22" s="3">
        <v>165000</v>
      </c>
      <c r="K22" s="2">
        <f t="shared" si="0"/>
        <v>100000</v>
      </c>
      <c r="L22" s="2">
        <f t="shared" si="1"/>
        <v>165</v>
      </c>
    </row>
    <row r="23" spans="1:12">
      <c r="A23">
        <v>1020</v>
      </c>
      <c r="B23" t="s">
        <v>24</v>
      </c>
      <c r="C23" s="1">
        <v>46254</v>
      </c>
      <c r="D23" s="1" t="str">
        <f>TEXT(C23,"mmmm")</f>
        <v>August</v>
      </c>
      <c r="E23" t="s">
        <v>18</v>
      </c>
      <c r="F23" t="s">
        <v>25</v>
      </c>
      <c r="G23" t="s">
        <v>21</v>
      </c>
      <c r="H23">
        <v>15</v>
      </c>
      <c r="I23">
        <v>2500</v>
      </c>
      <c r="J23" s="3">
        <v>165000</v>
      </c>
      <c r="K23" s="2">
        <f t="shared" si="0"/>
        <v>30000</v>
      </c>
      <c r="L23" s="2">
        <f t="shared" si="1"/>
        <v>550</v>
      </c>
    </row>
    <row r="24" spans="1:12">
      <c r="A24">
        <v>1021</v>
      </c>
      <c r="B24" t="s">
        <v>38</v>
      </c>
      <c r="C24" s="1">
        <v>46255</v>
      </c>
      <c r="D24" s="1" t="str">
        <f>TEXT(C24,"mmmm")</f>
        <v>August</v>
      </c>
      <c r="E24" t="s">
        <v>15</v>
      </c>
      <c r="F24" t="s">
        <v>20</v>
      </c>
      <c r="G24" t="s">
        <v>24</v>
      </c>
      <c r="H24">
        <v>3</v>
      </c>
      <c r="I24">
        <v>55000</v>
      </c>
      <c r="J24" s="3">
        <v>165000</v>
      </c>
      <c r="K24" s="2">
        <f t="shared" si="0"/>
        <v>200000</v>
      </c>
      <c r="L24" s="2">
        <f t="shared" si="1"/>
        <v>82.5</v>
      </c>
    </row>
    <row r="25" spans="1:12">
      <c r="A25">
        <v>1022</v>
      </c>
      <c r="B25" t="s">
        <v>44</v>
      </c>
      <c r="C25" s="1">
        <v>46256</v>
      </c>
      <c r="D25" s="1" t="str">
        <f>TEXT(C25,"mmmm")</f>
        <v>August</v>
      </c>
      <c r="E25" t="s">
        <v>19</v>
      </c>
      <c r="F25" t="s">
        <v>16</v>
      </c>
      <c r="G25" t="s">
        <v>21</v>
      </c>
      <c r="H25">
        <v>8</v>
      </c>
      <c r="I25">
        <v>22000</v>
      </c>
      <c r="J25" s="3">
        <v>165000</v>
      </c>
      <c r="K25" s="2">
        <f t="shared" si="0"/>
        <v>150000</v>
      </c>
      <c r="L25" s="2">
        <f t="shared" si="1"/>
        <v>110.00000000000001</v>
      </c>
    </row>
    <row r="26" spans="1:12">
      <c r="A26">
        <v>1023</v>
      </c>
      <c r="B26" t="s">
        <v>45</v>
      </c>
      <c r="C26" s="1">
        <v>46257</v>
      </c>
      <c r="D26" s="1" t="str">
        <f>TEXT(C26,"mmmm")</f>
        <v>August</v>
      </c>
      <c r="E26" t="s">
        <v>22</v>
      </c>
      <c r="F26" t="s">
        <v>25</v>
      </c>
      <c r="G26" t="s">
        <v>26</v>
      </c>
      <c r="H26">
        <v>4</v>
      </c>
      <c r="I26">
        <v>18000</v>
      </c>
      <c r="J26" s="3">
        <v>165000</v>
      </c>
      <c r="K26" s="2">
        <f t="shared" si="0"/>
        <v>100000</v>
      </c>
      <c r="L26" s="2">
        <f t="shared" si="1"/>
        <v>165</v>
      </c>
    </row>
    <row r="27" spans="1:12">
      <c r="A27">
        <v>1024</v>
      </c>
      <c r="B27" t="s">
        <v>46</v>
      </c>
      <c r="C27" s="1">
        <v>46258</v>
      </c>
      <c r="D27" s="1" t="str">
        <f>TEXT(C27,"mmmm")</f>
        <v>August</v>
      </c>
      <c r="E27" t="s">
        <v>18</v>
      </c>
      <c r="F27" t="s">
        <v>23</v>
      </c>
      <c r="G27" t="s">
        <v>17</v>
      </c>
      <c r="H27">
        <v>11</v>
      </c>
      <c r="I27">
        <v>2500</v>
      </c>
      <c r="J27" s="3">
        <v>165000</v>
      </c>
      <c r="K27" s="2">
        <f t="shared" si="0"/>
        <v>30000</v>
      </c>
      <c r="L27" s="2">
        <f t="shared" si="1"/>
        <v>550</v>
      </c>
    </row>
    <row r="28" spans="1:12">
      <c r="A28">
        <v>1025</v>
      </c>
      <c r="B28" t="s">
        <v>47</v>
      </c>
      <c r="C28" s="1">
        <v>46259</v>
      </c>
      <c r="D28" s="1" t="str">
        <f>TEXT(C28,"mmmm")</f>
        <v>August</v>
      </c>
      <c r="E28" t="s">
        <v>15</v>
      </c>
      <c r="F28" t="s">
        <v>23</v>
      </c>
      <c r="G28" t="s">
        <v>21</v>
      </c>
      <c r="H28">
        <v>2</v>
      </c>
      <c r="I28">
        <v>55000</v>
      </c>
      <c r="J28" s="3">
        <v>165000</v>
      </c>
      <c r="K28" s="2">
        <f t="shared" si="0"/>
        <v>200000</v>
      </c>
      <c r="L28" s="2">
        <f t="shared" si="1"/>
        <v>82.5</v>
      </c>
    </row>
    <row r="29" spans="1:12">
      <c r="A29">
        <v>1026</v>
      </c>
      <c r="B29" t="s">
        <v>26</v>
      </c>
      <c r="C29" s="1">
        <v>46260</v>
      </c>
      <c r="D29" s="1" t="str">
        <f>TEXT(C29,"mmmm")</f>
        <v>August</v>
      </c>
      <c r="E29" t="s">
        <v>19</v>
      </c>
      <c r="F29" t="s">
        <v>25</v>
      </c>
      <c r="G29" t="s">
        <v>24</v>
      </c>
      <c r="H29">
        <v>5</v>
      </c>
      <c r="I29">
        <v>22000</v>
      </c>
      <c r="J29" s="3">
        <v>165000</v>
      </c>
      <c r="K29" s="2">
        <f t="shared" si="0"/>
        <v>150000</v>
      </c>
      <c r="L29" s="2">
        <f t="shared" si="1"/>
        <v>110.00000000000001</v>
      </c>
    </row>
    <row r="30" spans="1:12">
      <c r="A30">
        <v>1027</v>
      </c>
      <c r="B30" t="s">
        <v>48</v>
      </c>
      <c r="C30" s="1">
        <v>46261</v>
      </c>
      <c r="D30" s="1" t="str">
        <f>TEXT(C30,"mmmm")</f>
        <v>August</v>
      </c>
      <c r="E30" t="s">
        <v>22</v>
      </c>
      <c r="F30" t="s">
        <v>16</v>
      </c>
      <c r="G30" t="s">
        <v>17</v>
      </c>
      <c r="H30">
        <v>6</v>
      </c>
      <c r="I30">
        <v>18000</v>
      </c>
      <c r="J30" s="3">
        <v>165000</v>
      </c>
      <c r="K30" s="2">
        <f t="shared" si="0"/>
        <v>100000</v>
      </c>
      <c r="L30" s="2">
        <f t="shared" si="1"/>
        <v>165</v>
      </c>
    </row>
    <row r="31" spans="1:12">
      <c r="A31">
        <v>1028</v>
      </c>
      <c r="B31" t="s">
        <v>21</v>
      </c>
      <c r="C31" s="1">
        <v>46262</v>
      </c>
      <c r="D31" s="1" t="str">
        <f>TEXT(C31,"mmmm")</f>
        <v>August</v>
      </c>
      <c r="E31" t="s">
        <v>18</v>
      </c>
      <c r="F31" t="s">
        <v>20</v>
      </c>
      <c r="G31" t="s">
        <v>26</v>
      </c>
      <c r="H31">
        <v>14</v>
      </c>
      <c r="I31">
        <v>2500</v>
      </c>
      <c r="J31" s="3">
        <v>165000</v>
      </c>
      <c r="K31" s="2">
        <f t="shared" si="0"/>
        <v>30000</v>
      </c>
      <c r="L31" s="2">
        <f t="shared" si="1"/>
        <v>550</v>
      </c>
    </row>
    <row r="32" spans="1:12">
      <c r="A32">
        <v>1029</v>
      </c>
      <c r="B32" t="s">
        <v>17</v>
      </c>
      <c r="C32" s="1">
        <v>46263</v>
      </c>
      <c r="D32" s="1" t="str">
        <f>TEXT(C32,"mmmm")</f>
        <v>August</v>
      </c>
      <c r="E32" t="s">
        <v>15</v>
      </c>
      <c r="F32" t="s">
        <v>25</v>
      </c>
      <c r="G32" t="s">
        <v>26</v>
      </c>
      <c r="H32">
        <v>4</v>
      </c>
      <c r="I32">
        <v>55000</v>
      </c>
      <c r="J32" s="3">
        <v>165000</v>
      </c>
      <c r="K32" s="2">
        <f t="shared" si="0"/>
        <v>200000</v>
      </c>
      <c r="L32" s="2">
        <f t="shared" si="1"/>
        <v>82.5</v>
      </c>
    </row>
    <row r="33" spans="1:12">
      <c r="A33">
        <v>1030</v>
      </c>
      <c r="B33" t="s">
        <v>24</v>
      </c>
      <c r="C33" s="1">
        <v>46264</v>
      </c>
      <c r="D33" s="1" t="str">
        <f>TEXT(C33,"mmmm")</f>
        <v>August</v>
      </c>
      <c r="E33" t="s">
        <v>19</v>
      </c>
      <c r="F33" t="s">
        <v>23</v>
      </c>
      <c r="G33" t="s">
        <v>17</v>
      </c>
      <c r="H33">
        <v>7</v>
      </c>
      <c r="I33">
        <v>22000</v>
      </c>
      <c r="J33" s="3">
        <v>165000</v>
      </c>
      <c r="K33" s="2">
        <f t="shared" si="0"/>
        <v>150000</v>
      </c>
      <c r="L33" s="2">
        <f t="shared" si="1"/>
        <v>110.00000000000001</v>
      </c>
    </row>
    <row r="34" spans="1:12">
      <c r="A34">
        <v>1031</v>
      </c>
      <c r="B34" t="s">
        <v>38</v>
      </c>
      <c r="C34" s="1">
        <v>46265</v>
      </c>
      <c r="D34" s="1" t="str">
        <f>TEXT(C34,"mmmm")</f>
        <v>August</v>
      </c>
      <c r="E34" t="s">
        <v>22</v>
      </c>
      <c r="F34" t="s">
        <v>20</v>
      </c>
      <c r="G34" t="s">
        <v>21</v>
      </c>
      <c r="H34">
        <v>5</v>
      </c>
      <c r="I34">
        <v>18000</v>
      </c>
      <c r="J34" s="3">
        <v>165000</v>
      </c>
      <c r="K34" s="2">
        <f t="shared" si="0"/>
        <v>100000</v>
      </c>
      <c r="L34" s="2">
        <f t="shared" si="1"/>
        <v>165</v>
      </c>
    </row>
    <row r="35" spans="1:12">
      <c r="A35">
        <v>1032</v>
      </c>
      <c r="B35" t="s">
        <v>44</v>
      </c>
      <c r="C35" s="1">
        <v>46266</v>
      </c>
      <c r="D35" s="1" t="str">
        <f>TEXT(C35,"mmmm")</f>
        <v>September</v>
      </c>
      <c r="E35" t="s">
        <v>18</v>
      </c>
      <c r="F35" t="s">
        <v>16</v>
      </c>
      <c r="G35" t="s">
        <v>24</v>
      </c>
      <c r="H35">
        <v>13</v>
      </c>
      <c r="I35">
        <v>2500</v>
      </c>
      <c r="J35" s="3">
        <v>165000</v>
      </c>
      <c r="K35" s="2">
        <f t="shared" si="0"/>
        <v>30000</v>
      </c>
      <c r="L35" s="2">
        <f t="shared" si="1"/>
        <v>550</v>
      </c>
    </row>
    <row r="36" spans="1:12">
      <c r="A36">
        <v>1033</v>
      </c>
      <c r="B36" t="s">
        <v>45</v>
      </c>
      <c r="C36" s="1">
        <v>46267</v>
      </c>
      <c r="D36" s="1" t="str">
        <f>TEXT(C36,"mmmm")</f>
        <v>September</v>
      </c>
      <c r="E36" t="s">
        <v>15</v>
      </c>
      <c r="F36" t="s">
        <v>16</v>
      </c>
      <c r="G36" t="s">
        <v>21</v>
      </c>
      <c r="H36">
        <v>3</v>
      </c>
      <c r="I36">
        <v>55000</v>
      </c>
      <c r="J36" s="3">
        <v>165000</v>
      </c>
      <c r="K36" s="2">
        <f t="shared" si="0"/>
        <v>200000</v>
      </c>
      <c r="L36" s="2">
        <f t="shared" si="1"/>
        <v>82.5</v>
      </c>
    </row>
    <row r="37" spans="1:12">
      <c r="A37">
        <v>1034</v>
      </c>
      <c r="B37" t="s">
        <v>46</v>
      </c>
      <c r="C37" s="1">
        <v>46268</v>
      </c>
      <c r="D37" s="1" t="str">
        <f>TEXT(C37,"mmmm")</f>
        <v>September</v>
      </c>
      <c r="E37" t="s">
        <v>19</v>
      </c>
      <c r="F37" t="s">
        <v>20</v>
      </c>
      <c r="G37" t="s">
        <v>26</v>
      </c>
      <c r="H37">
        <v>6</v>
      </c>
      <c r="I37">
        <v>22000</v>
      </c>
      <c r="J37" s="3">
        <v>165000</v>
      </c>
      <c r="K37" s="2">
        <f t="shared" si="0"/>
        <v>150000</v>
      </c>
      <c r="L37" s="2">
        <f t="shared" si="1"/>
        <v>110.00000000000001</v>
      </c>
    </row>
    <row r="38" spans="1:12">
      <c r="A38">
        <v>1035</v>
      </c>
      <c r="B38" t="s">
        <v>47</v>
      </c>
      <c r="C38" s="1">
        <v>46269</v>
      </c>
      <c r="D38" s="1" t="str">
        <f>TEXT(C38,"mmmm")</f>
        <v>September</v>
      </c>
      <c r="E38" t="s">
        <v>22</v>
      </c>
      <c r="F38" t="s">
        <v>23</v>
      </c>
      <c r="G38" t="s">
        <v>24</v>
      </c>
      <c r="H38">
        <v>9</v>
      </c>
      <c r="I38">
        <v>18000</v>
      </c>
      <c r="J38" s="3">
        <v>165000</v>
      </c>
      <c r="K38" s="2">
        <f t="shared" si="0"/>
        <v>100000</v>
      </c>
      <c r="L38" s="2">
        <f t="shared" si="1"/>
        <v>165</v>
      </c>
    </row>
    <row r="39" spans="1:12">
      <c r="A39">
        <v>1036</v>
      </c>
      <c r="B39" t="s">
        <v>26</v>
      </c>
      <c r="C39" s="1">
        <v>46270</v>
      </c>
      <c r="D39" s="1" t="str">
        <f>TEXT(C39,"mmmm")</f>
        <v>September</v>
      </c>
      <c r="E39" t="s">
        <v>18</v>
      </c>
      <c r="F39" t="s">
        <v>25</v>
      </c>
      <c r="G39" t="s">
        <v>17</v>
      </c>
      <c r="H39">
        <v>16</v>
      </c>
      <c r="I39">
        <v>2500</v>
      </c>
      <c r="J39" s="3">
        <v>165000</v>
      </c>
      <c r="K39" s="2">
        <f t="shared" si="0"/>
        <v>30000</v>
      </c>
      <c r="L39" s="2">
        <f t="shared" si="1"/>
        <v>550</v>
      </c>
    </row>
    <row r="40" spans="1:12">
      <c r="A40">
        <v>1037</v>
      </c>
      <c r="B40" t="s">
        <v>48</v>
      </c>
      <c r="C40" s="1">
        <v>46271</v>
      </c>
      <c r="D40" s="1" t="str">
        <f>TEXT(C40,"mmmm")</f>
        <v>September</v>
      </c>
      <c r="E40" t="s">
        <v>15</v>
      </c>
      <c r="F40" t="s">
        <v>20</v>
      </c>
      <c r="G40" t="s">
        <v>26</v>
      </c>
      <c r="H40">
        <v>2</v>
      </c>
      <c r="I40">
        <v>55000</v>
      </c>
      <c r="J40" s="3">
        <v>165000</v>
      </c>
      <c r="K40" s="2">
        <f t="shared" si="0"/>
        <v>200000</v>
      </c>
      <c r="L40" s="2">
        <f t="shared" si="1"/>
        <v>82.5</v>
      </c>
    </row>
    <row r="41" spans="1:12">
      <c r="A41">
        <v>1038</v>
      </c>
      <c r="B41" t="s">
        <v>21</v>
      </c>
      <c r="C41" s="1">
        <v>46272</v>
      </c>
      <c r="D41" s="1" t="str">
        <f>TEXT(C41,"mmmm")</f>
        <v>September</v>
      </c>
      <c r="E41" t="s">
        <v>19</v>
      </c>
      <c r="F41" t="s">
        <v>16</v>
      </c>
      <c r="G41" t="s">
        <v>17</v>
      </c>
      <c r="H41">
        <v>9</v>
      </c>
      <c r="I41">
        <v>22000</v>
      </c>
      <c r="J41" s="3">
        <v>165000</v>
      </c>
      <c r="K41" s="2">
        <f t="shared" si="0"/>
        <v>150000</v>
      </c>
      <c r="L41" s="2">
        <f t="shared" si="1"/>
        <v>110.00000000000001</v>
      </c>
    </row>
    <row r="42" spans="1:12">
      <c r="A42">
        <v>1039</v>
      </c>
      <c r="B42" t="s">
        <v>17</v>
      </c>
      <c r="C42" s="1">
        <v>46273</v>
      </c>
      <c r="D42" s="1" t="str">
        <f>TEXT(C42,"mmmm")</f>
        <v>September</v>
      </c>
      <c r="E42" t="s">
        <v>22</v>
      </c>
      <c r="F42" t="s">
        <v>25</v>
      </c>
      <c r="G42" t="s">
        <v>24</v>
      </c>
      <c r="H42">
        <v>6</v>
      </c>
      <c r="I42">
        <v>18000</v>
      </c>
      <c r="J42" s="3">
        <v>165000</v>
      </c>
      <c r="K42" s="2">
        <f t="shared" si="0"/>
        <v>100000</v>
      </c>
      <c r="L42" s="2">
        <f t="shared" si="1"/>
        <v>165</v>
      </c>
    </row>
    <row r="43" spans="1:12">
      <c r="A43">
        <v>1040</v>
      </c>
      <c r="B43" t="s">
        <v>24</v>
      </c>
      <c r="C43" s="1">
        <v>46274</v>
      </c>
      <c r="D43" s="1" t="str">
        <f>TEXT(C43,"mmmm")</f>
        <v>September</v>
      </c>
      <c r="E43" t="s">
        <v>18</v>
      </c>
      <c r="F43" t="s">
        <v>23</v>
      </c>
      <c r="G43" t="s">
        <v>21</v>
      </c>
      <c r="H43">
        <v>12</v>
      </c>
      <c r="I43">
        <v>2500</v>
      </c>
      <c r="J43" s="3">
        <v>165000</v>
      </c>
      <c r="K43" s="2">
        <f t="shared" si="0"/>
        <v>30000</v>
      </c>
      <c r="L43" s="2">
        <f t="shared" si="1"/>
        <v>550</v>
      </c>
    </row>
    <row r="44" spans="1:12">
      <c r="A44">
        <v>1041</v>
      </c>
      <c r="B44" t="s">
        <v>38</v>
      </c>
      <c r="C44" s="1">
        <v>46275</v>
      </c>
      <c r="D44" s="1" t="str">
        <f>TEXT(C44,"mmmm")</f>
        <v>September</v>
      </c>
      <c r="E44" t="s">
        <v>15</v>
      </c>
      <c r="F44" t="s">
        <v>23</v>
      </c>
      <c r="G44" t="s">
        <v>17</v>
      </c>
      <c r="H44">
        <v>5</v>
      </c>
      <c r="I44">
        <v>55000</v>
      </c>
      <c r="J44" s="3">
        <v>165000</v>
      </c>
      <c r="K44" s="2">
        <f t="shared" si="0"/>
        <v>200000</v>
      </c>
      <c r="L44" s="2">
        <f t="shared" si="1"/>
        <v>82.5</v>
      </c>
    </row>
    <row r="45" spans="1:12">
      <c r="A45">
        <v>1042</v>
      </c>
      <c r="B45" t="s">
        <v>44</v>
      </c>
      <c r="C45" s="1">
        <v>46276</v>
      </c>
      <c r="D45" s="1" t="str">
        <f>TEXT(C45,"mmmm")</f>
        <v>September</v>
      </c>
      <c r="E45" t="s">
        <v>19</v>
      </c>
      <c r="F45" t="s">
        <v>25</v>
      </c>
      <c r="G45" t="s">
        <v>21</v>
      </c>
      <c r="H45">
        <v>4</v>
      </c>
      <c r="I45">
        <v>22000</v>
      </c>
      <c r="J45" s="3">
        <v>165000</v>
      </c>
      <c r="K45" s="2">
        <f t="shared" si="0"/>
        <v>150000</v>
      </c>
      <c r="L45" s="2">
        <f t="shared" si="1"/>
        <v>110.00000000000001</v>
      </c>
    </row>
    <row r="46" spans="1:12">
      <c r="A46">
        <v>1043</v>
      </c>
      <c r="B46" t="s">
        <v>45</v>
      </c>
      <c r="C46" s="1">
        <v>46277</v>
      </c>
      <c r="D46" s="1" t="str">
        <f>TEXT(C46,"mmmm")</f>
        <v>September</v>
      </c>
      <c r="E46" t="s">
        <v>22</v>
      </c>
      <c r="F46" t="s">
        <v>16</v>
      </c>
      <c r="G46" t="s">
        <v>26</v>
      </c>
      <c r="H46">
        <v>7</v>
      </c>
      <c r="I46">
        <v>18000</v>
      </c>
      <c r="J46" s="3">
        <v>165000</v>
      </c>
      <c r="K46" s="2">
        <f t="shared" si="0"/>
        <v>100000</v>
      </c>
      <c r="L46" s="2">
        <f t="shared" si="1"/>
        <v>165</v>
      </c>
    </row>
    <row r="47" spans="1:12">
      <c r="A47">
        <v>1044</v>
      </c>
      <c r="B47" t="s">
        <v>46</v>
      </c>
      <c r="C47" s="1">
        <v>46278</v>
      </c>
      <c r="D47" s="1" t="str">
        <f>TEXT(C47,"mmmm")</f>
        <v>September</v>
      </c>
      <c r="E47" t="s">
        <v>18</v>
      </c>
      <c r="F47" t="s">
        <v>20</v>
      </c>
      <c r="G47" t="s">
        <v>24</v>
      </c>
      <c r="H47">
        <v>18</v>
      </c>
      <c r="I47">
        <v>2500</v>
      </c>
      <c r="J47" s="3">
        <v>165000</v>
      </c>
      <c r="K47" s="2">
        <f t="shared" si="0"/>
        <v>30000</v>
      </c>
      <c r="L47" s="2">
        <f t="shared" si="1"/>
        <v>550</v>
      </c>
    </row>
    <row r="48" spans="1:12">
      <c r="A48">
        <v>1045</v>
      </c>
      <c r="B48" t="s">
        <v>47</v>
      </c>
      <c r="C48" s="1">
        <v>46279</v>
      </c>
      <c r="D48" s="1" t="str">
        <f>TEXT(C48,"mmmm")</f>
        <v>September</v>
      </c>
      <c r="E48" t="s">
        <v>15</v>
      </c>
      <c r="F48" t="s">
        <v>25</v>
      </c>
      <c r="G48" t="s">
        <v>24</v>
      </c>
      <c r="H48">
        <v>3</v>
      </c>
      <c r="I48">
        <v>55000</v>
      </c>
      <c r="J48" s="3">
        <v>165000</v>
      </c>
      <c r="K48" s="2">
        <f t="shared" si="0"/>
        <v>200000</v>
      </c>
      <c r="L48" s="2">
        <f t="shared" si="1"/>
        <v>82.5</v>
      </c>
    </row>
    <row r="49" spans="1:12">
      <c r="A49">
        <v>1046</v>
      </c>
      <c r="B49" t="s">
        <v>26</v>
      </c>
      <c r="C49" s="1">
        <v>46280</v>
      </c>
      <c r="D49" s="1" t="str">
        <f>TEXT(C49,"mmmm")</f>
        <v>September</v>
      </c>
      <c r="E49" t="s">
        <v>19</v>
      </c>
      <c r="F49" t="s">
        <v>23</v>
      </c>
      <c r="G49" t="s">
        <v>26</v>
      </c>
      <c r="H49">
        <v>8</v>
      </c>
      <c r="I49">
        <v>22000</v>
      </c>
      <c r="J49" s="3">
        <v>165000</v>
      </c>
      <c r="K49" s="2">
        <f t="shared" si="0"/>
        <v>150000</v>
      </c>
      <c r="L49" s="2">
        <f t="shared" si="1"/>
        <v>110.00000000000001</v>
      </c>
    </row>
    <row r="50" spans="1:12">
      <c r="A50">
        <v>1047</v>
      </c>
      <c r="B50" t="s">
        <v>48</v>
      </c>
      <c r="C50" s="1">
        <v>46281</v>
      </c>
      <c r="D50" s="1" t="str">
        <f>TEXT(C50,"mmmm")</f>
        <v>September</v>
      </c>
      <c r="E50" t="s">
        <v>22</v>
      </c>
      <c r="F50" t="s">
        <v>20</v>
      </c>
      <c r="G50" t="s">
        <v>17</v>
      </c>
      <c r="H50">
        <v>6</v>
      </c>
      <c r="I50">
        <v>18000</v>
      </c>
      <c r="J50" s="3">
        <v>165000</v>
      </c>
      <c r="K50" s="2">
        <f t="shared" si="0"/>
        <v>100000</v>
      </c>
      <c r="L50" s="2">
        <f t="shared" si="1"/>
        <v>165</v>
      </c>
    </row>
    <row r="51" spans="1:12">
      <c r="A51">
        <v>1048</v>
      </c>
      <c r="B51" t="s">
        <v>21</v>
      </c>
      <c r="C51" s="1">
        <v>46282</v>
      </c>
      <c r="D51" s="1" t="str">
        <f>TEXT(C51,"mmmm")</f>
        <v>September</v>
      </c>
      <c r="E51" t="s">
        <v>18</v>
      </c>
      <c r="F51" t="s">
        <v>16</v>
      </c>
      <c r="G51" t="s">
        <v>21</v>
      </c>
      <c r="H51">
        <v>10</v>
      </c>
      <c r="I51">
        <v>2500</v>
      </c>
      <c r="J51" s="3">
        <v>165000</v>
      </c>
      <c r="K51" s="2">
        <f t="shared" si="0"/>
        <v>30000</v>
      </c>
      <c r="L51" s="2">
        <f t="shared" si="1"/>
        <v>550</v>
      </c>
    </row>
    <row r="52" spans="1:12">
      <c r="A52">
        <v>1049</v>
      </c>
      <c r="B52" t="s">
        <v>17</v>
      </c>
      <c r="C52" s="1">
        <v>46283</v>
      </c>
      <c r="D52" s="1" t="str">
        <f>TEXT(C52,"mmmm")</f>
        <v>September</v>
      </c>
      <c r="E52" t="s">
        <v>15</v>
      </c>
      <c r="F52" t="s">
        <v>16</v>
      </c>
      <c r="G52" t="s">
        <v>24</v>
      </c>
      <c r="H52">
        <v>4</v>
      </c>
      <c r="I52">
        <v>55000</v>
      </c>
      <c r="J52" s="3">
        <v>165000</v>
      </c>
      <c r="K52" s="2">
        <f t="shared" si="0"/>
        <v>200000</v>
      </c>
      <c r="L52" s="2">
        <f t="shared" si="1"/>
        <v>82.5</v>
      </c>
    </row>
    <row r="53" spans="1:12">
      <c r="A53">
        <v>1050</v>
      </c>
      <c r="B53" t="s">
        <v>24</v>
      </c>
      <c r="C53" s="1">
        <v>46284</v>
      </c>
      <c r="D53" s="1" t="str">
        <f>TEXT(C53,"mmmm")</f>
        <v>September</v>
      </c>
      <c r="E53" t="s">
        <v>19</v>
      </c>
      <c r="F53" t="s">
        <v>20</v>
      </c>
      <c r="G53" t="s">
        <v>17</v>
      </c>
      <c r="H53">
        <v>7</v>
      </c>
      <c r="I53">
        <v>22000</v>
      </c>
      <c r="J53" s="3">
        <v>165000</v>
      </c>
      <c r="K53" s="2">
        <f t="shared" si="0"/>
        <v>150000</v>
      </c>
      <c r="L53" s="2">
        <f t="shared" si="1"/>
        <v>110.00000000000001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3221-971B-4F68-8B71-7D35ACDF7948}">
  <dimension ref="A1:S53"/>
  <sheetViews>
    <sheetView topLeftCell="A36" workbookViewId="0">
      <selection activeCell="Q3" sqref="Q3:R7"/>
    </sheetView>
  </sheetViews>
  <sheetFormatPr defaultRowHeight="15"/>
  <cols>
    <col min="2" max="2" width="11.42578125" bestFit="1" customWidth="1"/>
    <col min="9" max="9" width="10.42578125" bestFit="1" customWidth="1"/>
    <col min="10" max="10" width="10.42578125" customWidth="1"/>
    <col min="14" max="14" width="16.140625" customWidth="1"/>
    <col min="16" max="16" width="12.140625" bestFit="1" customWidth="1"/>
    <col min="17" max="17" width="20.42578125" bestFit="1" customWidth="1"/>
    <col min="18" max="18" width="13.42578125" bestFit="1" customWidth="1"/>
    <col min="19" max="19" width="27.28515625" bestFit="1" customWidth="1"/>
  </cols>
  <sheetData>
    <row r="1" spans="1:19" ht="18.75">
      <c r="A1" s="9" t="s">
        <v>57</v>
      </c>
      <c r="B1" s="10"/>
      <c r="C1" s="10"/>
      <c r="D1" s="10"/>
      <c r="E1" s="10"/>
      <c r="F1" s="10"/>
      <c r="G1" s="10"/>
      <c r="H1" s="11"/>
    </row>
    <row r="3" spans="1:1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58</v>
      </c>
      <c r="K3" t="s">
        <v>59</v>
      </c>
      <c r="L3" t="s">
        <v>10</v>
      </c>
      <c r="M3" t="s">
        <v>11</v>
      </c>
      <c r="N3" t="s">
        <v>60</v>
      </c>
      <c r="Q3" s="7" t="s">
        <v>4</v>
      </c>
      <c r="R3" s="7" t="s">
        <v>61</v>
      </c>
    </row>
    <row r="4" spans="1:19">
      <c r="A4">
        <v>1001</v>
      </c>
      <c r="B4" s="1">
        <v>46235</v>
      </c>
      <c r="C4" s="1" t="str">
        <f>TEXT(B4,"mmmm")</f>
        <v>August</v>
      </c>
      <c r="D4" t="s">
        <v>15</v>
      </c>
      <c r="E4" t="s">
        <v>16</v>
      </c>
      <c r="F4" t="s">
        <v>17</v>
      </c>
      <c r="G4">
        <v>3</v>
      </c>
      <c r="H4">
        <v>55000</v>
      </c>
      <c r="I4" s="8">
        <v>165000</v>
      </c>
      <c r="J4" s="8">
        <f>_xlfn.XLOOKUP(D4,$Q$4:$Q$7,$R$4:$R$7,"Not founded")</f>
        <v>42000</v>
      </c>
      <c r="K4" s="8">
        <f>I4-(J4*G4)</f>
        <v>39000</v>
      </c>
      <c r="L4" s="2">
        <f>IF(D4 = "Laptop",200000,IF( D4 = "Mobile",150000,IF(D4 = "Tablet",100000,IF(D4 = "Headphones",30000,""))))</f>
        <v>200000</v>
      </c>
      <c r="M4" s="2">
        <f>I4/L4*100</f>
        <v>82.5</v>
      </c>
      <c r="N4" s="5">
        <f>K4/I4</f>
        <v>0.23636363636363636</v>
      </c>
      <c r="Q4" t="s">
        <v>15</v>
      </c>
      <c r="R4" s="8">
        <v>42000</v>
      </c>
    </row>
    <row r="5" spans="1:19">
      <c r="A5">
        <v>1002</v>
      </c>
      <c r="B5" s="1">
        <v>46236</v>
      </c>
      <c r="C5" s="1" t="str">
        <f>TEXT(B5,"mmmm")</f>
        <v>August</v>
      </c>
      <c r="D5" t="s">
        <v>19</v>
      </c>
      <c r="E5" t="s">
        <v>20</v>
      </c>
      <c r="F5" t="s">
        <v>21</v>
      </c>
      <c r="G5">
        <v>5</v>
      </c>
      <c r="H5">
        <v>22000</v>
      </c>
      <c r="I5" s="8">
        <v>165000</v>
      </c>
      <c r="J5" s="8">
        <f t="shared" ref="J5:J53" si="0">_xlfn.XLOOKUP(D5,$Q$4:$Q$7,$R$4:$R$7,"Not founded")</f>
        <v>14000</v>
      </c>
      <c r="K5" s="8">
        <f t="shared" ref="K5:K53" si="1">I5-(J5*G5)</f>
        <v>95000</v>
      </c>
      <c r="L5" s="2">
        <f t="shared" ref="L5:L53" si="2">IF(D5 = "Laptop",200000,IF( D5 = "Mobile",150000,IF(D5 = "Tablet",100000,IF(D5 = "Headphones",30000,""))))</f>
        <v>150000</v>
      </c>
      <c r="M5" s="2">
        <f>I5/L5*100</f>
        <v>110.00000000000001</v>
      </c>
      <c r="N5" s="5">
        <f t="shared" ref="N5:N53" si="3">K5/I5</f>
        <v>0.5757575757575758</v>
      </c>
      <c r="Q5" t="s">
        <v>19</v>
      </c>
      <c r="R5" s="8">
        <v>14000</v>
      </c>
    </row>
    <row r="6" spans="1:19">
      <c r="A6">
        <v>1003</v>
      </c>
      <c r="B6" s="1">
        <v>46237</v>
      </c>
      <c r="C6" s="1" t="str">
        <f>TEXT(B6,"mmmm")</f>
        <v>August</v>
      </c>
      <c r="D6" t="s">
        <v>22</v>
      </c>
      <c r="E6" t="s">
        <v>23</v>
      </c>
      <c r="F6" t="s">
        <v>24</v>
      </c>
      <c r="G6">
        <v>4</v>
      </c>
      <c r="H6">
        <v>18000</v>
      </c>
      <c r="I6" s="8">
        <v>165000</v>
      </c>
      <c r="J6" s="8">
        <f t="shared" si="0"/>
        <v>25000</v>
      </c>
      <c r="K6" s="8">
        <f t="shared" si="1"/>
        <v>65000</v>
      </c>
      <c r="L6" s="2">
        <f t="shared" si="2"/>
        <v>100000</v>
      </c>
      <c r="M6" s="2">
        <f>I6/L6*100</f>
        <v>165</v>
      </c>
      <c r="N6" s="5">
        <f t="shared" si="3"/>
        <v>0.39393939393939392</v>
      </c>
      <c r="Q6" t="s">
        <v>22</v>
      </c>
      <c r="R6" s="8">
        <v>25000</v>
      </c>
    </row>
    <row r="7" spans="1:19">
      <c r="A7">
        <v>1004</v>
      </c>
      <c r="B7" s="1">
        <v>46238</v>
      </c>
      <c r="C7" s="1" t="str">
        <f>TEXT(B7,"mmmm")</f>
        <v>August</v>
      </c>
      <c r="D7" t="s">
        <v>18</v>
      </c>
      <c r="E7" t="s">
        <v>25</v>
      </c>
      <c r="F7" t="s">
        <v>26</v>
      </c>
      <c r="G7">
        <v>8</v>
      </c>
      <c r="H7">
        <v>2500</v>
      </c>
      <c r="I7" s="8">
        <v>165000</v>
      </c>
      <c r="J7" s="8">
        <f t="shared" si="0"/>
        <v>2000</v>
      </c>
      <c r="K7" s="8">
        <f t="shared" si="1"/>
        <v>149000</v>
      </c>
      <c r="L7" s="2">
        <f t="shared" si="2"/>
        <v>30000</v>
      </c>
      <c r="M7" s="2">
        <f>I7/L7*100</f>
        <v>550</v>
      </c>
      <c r="N7" s="5">
        <f t="shared" si="3"/>
        <v>0.90303030303030307</v>
      </c>
      <c r="Q7" t="s">
        <v>18</v>
      </c>
      <c r="R7" s="8">
        <v>2000</v>
      </c>
    </row>
    <row r="8" spans="1:19">
      <c r="A8">
        <v>1005</v>
      </c>
      <c r="B8" s="1">
        <v>46239</v>
      </c>
      <c r="C8" s="1" t="str">
        <f>TEXT(B8,"mmmm")</f>
        <v>August</v>
      </c>
      <c r="D8" t="s">
        <v>15</v>
      </c>
      <c r="E8" t="s">
        <v>20</v>
      </c>
      <c r="F8" t="s">
        <v>17</v>
      </c>
      <c r="G8">
        <v>2</v>
      </c>
      <c r="H8">
        <v>55000</v>
      </c>
      <c r="I8" s="8">
        <v>165000</v>
      </c>
      <c r="J8" s="8">
        <f t="shared" si="0"/>
        <v>42000</v>
      </c>
      <c r="K8" s="8">
        <f t="shared" si="1"/>
        <v>81000</v>
      </c>
      <c r="L8" s="2">
        <f t="shared" si="2"/>
        <v>200000</v>
      </c>
      <c r="M8" s="2">
        <f>I8/L8*100</f>
        <v>82.5</v>
      </c>
      <c r="N8" s="5">
        <f t="shared" si="3"/>
        <v>0.49090909090909091</v>
      </c>
    </row>
    <row r="9" spans="1:19">
      <c r="A9">
        <v>1006</v>
      </c>
      <c r="B9" s="1">
        <v>46240</v>
      </c>
      <c r="C9" s="1" t="str">
        <f>TEXT(B9,"mmmm")</f>
        <v>August</v>
      </c>
      <c r="D9" t="s">
        <v>19</v>
      </c>
      <c r="E9" t="s">
        <v>16</v>
      </c>
      <c r="F9" t="s">
        <v>24</v>
      </c>
      <c r="G9">
        <v>7</v>
      </c>
      <c r="H9">
        <v>22000</v>
      </c>
      <c r="I9" s="8">
        <v>165000</v>
      </c>
      <c r="J9" s="8">
        <f t="shared" si="0"/>
        <v>14000</v>
      </c>
      <c r="K9" s="8">
        <f t="shared" si="1"/>
        <v>67000</v>
      </c>
      <c r="L9" s="2">
        <f t="shared" si="2"/>
        <v>150000</v>
      </c>
      <c r="M9" s="2">
        <f>I9/L9*100</f>
        <v>110.00000000000001</v>
      </c>
      <c r="N9" s="5">
        <f t="shared" si="3"/>
        <v>0.40606060606060607</v>
      </c>
      <c r="P9" s="4" t="s">
        <v>4</v>
      </c>
      <c r="Q9" t="s">
        <v>13</v>
      </c>
      <c r="R9" t="s">
        <v>62</v>
      </c>
      <c r="S9" t="s">
        <v>63</v>
      </c>
    </row>
    <row r="10" spans="1:19">
      <c r="A10">
        <v>1007</v>
      </c>
      <c r="B10" s="1">
        <v>46241</v>
      </c>
      <c r="C10" s="1" t="str">
        <f>TEXT(B10,"mmmm")</f>
        <v>August</v>
      </c>
      <c r="D10" t="s">
        <v>22</v>
      </c>
      <c r="E10" t="s">
        <v>25</v>
      </c>
      <c r="F10" t="s">
        <v>21</v>
      </c>
      <c r="G10">
        <v>6</v>
      </c>
      <c r="H10">
        <v>18000</v>
      </c>
      <c r="I10" s="8">
        <v>165000</v>
      </c>
      <c r="J10" s="8">
        <f t="shared" si="0"/>
        <v>25000</v>
      </c>
      <c r="K10" s="8">
        <f t="shared" si="1"/>
        <v>15000</v>
      </c>
      <c r="L10" s="2">
        <f t="shared" si="2"/>
        <v>100000</v>
      </c>
      <c r="M10" s="2">
        <f>I10/L10*100</f>
        <v>165</v>
      </c>
      <c r="N10" s="5">
        <f t="shared" si="3"/>
        <v>9.0909090909090912E-2</v>
      </c>
      <c r="P10" t="s">
        <v>18</v>
      </c>
      <c r="Q10" s="8">
        <v>1980000</v>
      </c>
      <c r="R10" s="8">
        <v>1684000</v>
      </c>
      <c r="S10" s="5">
        <v>0.85050505050505054</v>
      </c>
    </row>
    <row r="11" spans="1:19">
      <c r="A11">
        <v>1008</v>
      </c>
      <c r="B11" s="1">
        <v>46242</v>
      </c>
      <c r="C11" s="1" t="str">
        <f>TEXT(B11,"mmmm")</f>
        <v>August</v>
      </c>
      <c r="D11" t="s">
        <v>18</v>
      </c>
      <c r="E11" t="s">
        <v>23</v>
      </c>
      <c r="F11" t="s">
        <v>26</v>
      </c>
      <c r="G11">
        <v>10</v>
      </c>
      <c r="H11">
        <v>2500</v>
      </c>
      <c r="I11" s="8">
        <v>165000</v>
      </c>
      <c r="J11" s="8">
        <f t="shared" si="0"/>
        <v>2000</v>
      </c>
      <c r="K11" s="8">
        <f t="shared" si="1"/>
        <v>145000</v>
      </c>
      <c r="L11" s="2">
        <f t="shared" si="2"/>
        <v>30000</v>
      </c>
      <c r="M11" s="2">
        <f>I11/L11*100</f>
        <v>550</v>
      </c>
      <c r="N11" s="5">
        <f t="shared" si="3"/>
        <v>0.87878787878787878</v>
      </c>
      <c r="P11" t="s">
        <v>15</v>
      </c>
      <c r="Q11" s="8">
        <v>2145000</v>
      </c>
      <c r="R11" s="8">
        <v>381000</v>
      </c>
      <c r="S11" s="5">
        <v>0.17762237762237762</v>
      </c>
    </row>
    <row r="12" spans="1:19">
      <c r="A12">
        <v>1009</v>
      </c>
      <c r="B12" s="1">
        <v>46243</v>
      </c>
      <c r="C12" s="1" t="str">
        <f>TEXT(B12,"mmmm")</f>
        <v>August</v>
      </c>
      <c r="D12" t="s">
        <v>15</v>
      </c>
      <c r="E12" t="s">
        <v>23</v>
      </c>
      <c r="F12" t="s">
        <v>24</v>
      </c>
      <c r="G12">
        <v>4</v>
      </c>
      <c r="H12">
        <v>55000</v>
      </c>
      <c r="I12" s="8">
        <v>165000</v>
      </c>
      <c r="J12" s="8">
        <f t="shared" si="0"/>
        <v>42000</v>
      </c>
      <c r="K12" s="8">
        <f t="shared" si="1"/>
        <v>-3000</v>
      </c>
      <c r="L12" s="2">
        <f t="shared" si="2"/>
        <v>200000</v>
      </c>
      <c r="M12" s="2">
        <f>I12/L12*100</f>
        <v>82.5</v>
      </c>
      <c r="N12" s="5">
        <f t="shared" si="3"/>
        <v>-1.8181818181818181E-2</v>
      </c>
      <c r="P12" t="s">
        <v>19</v>
      </c>
      <c r="Q12" s="8">
        <v>2145000</v>
      </c>
      <c r="R12" s="8">
        <v>1039000</v>
      </c>
      <c r="S12" s="5">
        <v>0.48438228438228442</v>
      </c>
    </row>
    <row r="13" spans="1:19">
      <c r="A13">
        <v>1010</v>
      </c>
      <c r="B13" s="1">
        <v>46244</v>
      </c>
      <c r="C13" s="1" t="str">
        <f>TEXT(B13,"mmmm")</f>
        <v>August</v>
      </c>
      <c r="D13" t="s">
        <v>19</v>
      </c>
      <c r="E13" t="s">
        <v>25</v>
      </c>
      <c r="F13" t="s">
        <v>17</v>
      </c>
      <c r="G13">
        <v>3</v>
      </c>
      <c r="H13">
        <v>22000</v>
      </c>
      <c r="I13" s="8">
        <v>165000</v>
      </c>
      <c r="J13" s="8">
        <f t="shared" si="0"/>
        <v>14000</v>
      </c>
      <c r="K13" s="8">
        <f t="shared" si="1"/>
        <v>123000</v>
      </c>
      <c r="L13" s="2">
        <f t="shared" si="2"/>
        <v>150000</v>
      </c>
      <c r="M13" s="2">
        <f>I13/L13*100</f>
        <v>110.00000000000001</v>
      </c>
      <c r="N13" s="5">
        <f t="shared" si="3"/>
        <v>0.74545454545454548</v>
      </c>
      <c r="P13" t="s">
        <v>22</v>
      </c>
      <c r="Q13" s="8">
        <v>1980000</v>
      </c>
      <c r="R13" s="8">
        <v>155000</v>
      </c>
      <c r="S13" s="5">
        <v>7.8282828282828301E-2</v>
      </c>
    </row>
    <row r="14" spans="1:19">
      <c r="A14">
        <v>1011</v>
      </c>
      <c r="B14" s="1">
        <v>46245</v>
      </c>
      <c r="C14" s="1" t="str">
        <f>TEXT(B14,"mmmm")</f>
        <v>August</v>
      </c>
      <c r="D14" t="s">
        <v>22</v>
      </c>
      <c r="E14" t="s">
        <v>16</v>
      </c>
      <c r="F14" t="s">
        <v>26</v>
      </c>
      <c r="G14">
        <v>5</v>
      </c>
      <c r="H14">
        <v>18000</v>
      </c>
      <c r="I14" s="8">
        <v>165000</v>
      </c>
      <c r="J14" s="8">
        <f t="shared" si="0"/>
        <v>25000</v>
      </c>
      <c r="K14" s="8">
        <f t="shared" si="1"/>
        <v>40000</v>
      </c>
      <c r="L14" s="2">
        <f t="shared" si="2"/>
        <v>100000</v>
      </c>
      <c r="M14" s="2">
        <f>I14/L14*100</f>
        <v>165</v>
      </c>
      <c r="N14" s="5">
        <f t="shared" si="3"/>
        <v>0.24242424242424243</v>
      </c>
      <c r="P14" t="s">
        <v>27</v>
      </c>
      <c r="Q14" s="8">
        <v>8250000</v>
      </c>
      <c r="R14" s="8">
        <v>3259000</v>
      </c>
      <c r="S14" s="5">
        <v>0.39503030303030295</v>
      </c>
    </row>
    <row r="15" spans="1:19">
      <c r="A15">
        <v>1012</v>
      </c>
      <c r="B15" s="1">
        <v>46246</v>
      </c>
      <c r="C15" s="1" t="str">
        <f>TEXT(B15,"mmmm")</f>
        <v>August</v>
      </c>
      <c r="D15" t="s">
        <v>18</v>
      </c>
      <c r="E15" t="s">
        <v>20</v>
      </c>
      <c r="F15" t="s">
        <v>21</v>
      </c>
      <c r="G15">
        <v>12</v>
      </c>
      <c r="H15">
        <v>2500</v>
      </c>
      <c r="I15" s="8">
        <v>165000</v>
      </c>
      <c r="J15" s="8">
        <f t="shared" si="0"/>
        <v>2000</v>
      </c>
      <c r="K15" s="8">
        <f t="shared" si="1"/>
        <v>141000</v>
      </c>
      <c r="L15" s="2">
        <f t="shared" si="2"/>
        <v>30000</v>
      </c>
      <c r="M15" s="2">
        <f>I15/L15*100</f>
        <v>550</v>
      </c>
      <c r="N15" s="5">
        <f t="shared" si="3"/>
        <v>0.8545454545454545</v>
      </c>
    </row>
    <row r="16" spans="1:19">
      <c r="A16">
        <v>1013</v>
      </c>
      <c r="B16" s="1">
        <v>46247</v>
      </c>
      <c r="C16" s="1" t="str">
        <f>TEXT(B16,"mmmm")</f>
        <v>August</v>
      </c>
      <c r="D16" t="s">
        <v>15</v>
      </c>
      <c r="E16" t="s">
        <v>25</v>
      </c>
      <c r="F16" t="s">
        <v>21</v>
      </c>
      <c r="G16">
        <v>2</v>
      </c>
      <c r="H16">
        <v>55000</v>
      </c>
      <c r="I16" s="8">
        <v>165000</v>
      </c>
      <c r="J16" s="8">
        <f t="shared" si="0"/>
        <v>42000</v>
      </c>
      <c r="K16" s="8">
        <f t="shared" si="1"/>
        <v>81000</v>
      </c>
      <c r="L16" s="2">
        <f t="shared" si="2"/>
        <v>200000</v>
      </c>
      <c r="M16" s="2">
        <f>I16/L16*100</f>
        <v>82.5</v>
      </c>
      <c r="N16" s="5">
        <f t="shared" si="3"/>
        <v>0.49090909090909091</v>
      </c>
    </row>
    <row r="17" spans="1:14">
      <c r="A17">
        <v>1014</v>
      </c>
      <c r="B17" s="1">
        <v>46248</v>
      </c>
      <c r="C17" s="1" t="str">
        <f>TEXT(B17,"mmmm")</f>
        <v>August</v>
      </c>
      <c r="D17" t="s">
        <v>19</v>
      </c>
      <c r="E17" t="s">
        <v>23</v>
      </c>
      <c r="F17" t="s">
        <v>26</v>
      </c>
      <c r="G17">
        <v>6</v>
      </c>
      <c r="H17">
        <v>22000</v>
      </c>
      <c r="I17" s="8">
        <v>165000</v>
      </c>
      <c r="J17" s="8">
        <f t="shared" si="0"/>
        <v>14000</v>
      </c>
      <c r="K17" s="8">
        <f t="shared" si="1"/>
        <v>81000</v>
      </c>
      <c r="L17" s="2">
        <f t="shared" si="2"/>
        <v>150000</v>
      </c>
      <c r="M17" s="2">
        <f>I17/L17*100</f>
        <v>110.00000000000001</v>
      </c>
      <c r="N17" s="5">
        <f t="shared" si="3"/>
        <v>0.49090909090909091</v>
      </c>
    </row>
    <row r="18" spans="1:14">
      <c r="A18">
        <v>1015</v>
      </c>
      <c r="B18" s="1">
        <v>46249</v>
      </c>
      <c r="C18" s="1" t="str">
        <f>TEXT(B18,"mmmm")</f>
        <v>August</v>
      </c>
      <c r="D18" t="s">
        <v>22</v>
      </c>
      <c r="E18" t="s">
        <v>20</v>
      </c>
      <c r="F18" t="s">
        <v>17</v>
      </c>
      <c r="G18">
        <v>7</v>
      </c>
      <c r="H18">
        <v>18000</v>
      </c>
      <c r="I18" s="8">
        <v>165000</v>
      </c>
      <c r="J18" s="8">
        <f t="shared" si="0"/>
        <v>25000</v>
      </c>
      <c r="K18" s="8">
        <f t="shared" si="1"/>
        <v>-10000</v>
      </c>
      <c r="L18" s="2">
        <f t="shared" si="2"/>
        <v>100000</v>
      </c>
      <c r="M18" s="2">
        <f>I18/L18*100</f>
        <v>165</v>
      </c>
      <c r="N18" s="5">
        <f t="shared" si="3"/>
        <v>-6.0606060606060608E-2</v>
      </c>
    </row>
    <row r="19" spans="1:14">
      <c r="A19">
        <v>1016</v>
      </c>
      <c r="B19" s="1">
        <v>46250</v>
      </c>
      <c r="C19" s="1" t="str">
        <f>TEXT(B19,"mmmm")</f>
        <v>August</v>
      </c>
      <c r="D19" t="s">
        <v>18</v>
      </c>
      <c r="E19" t="s">
        <v>16</v>
      </c>
      <c r="F19" t="s">
        <v>24</v>
      </c>
      <c r="G19">
        <v>9</v>
      </c>
      <c r="H19">
        <v>2500</v>
      </c>
      <c r="I19" s="8">
        <v>165000</v>
      </c>
      <c r="J19" s="8">
        <f t="shared" si="0"/>
        <v>2000</v>
      </c>
      <c r="K19" s="8">
        <f t="shared" si="1"/>
        <v>147000</v>
      </c>
      <c r="L19" s="2">
        <f t="shared" si="2"/>
        <v>30000</v>
      </c>
      <c r="M19" s="2">
        <f>I19/L19*100</f>
        <v>550</v>
      </c>
      <c r="N19" s="5">
        <f t="shared" si="3"/>
        <v>0.89090909090909087</v>
      </c>
    </row>
    <row r="20" spans="1:14">
      <c r="A20">
        <v>1017</v>
      </c>
      <c r="B20" s="1">
        <v>46251</v>
      </c>
      <c r="C20" s="1" t="str">
        <f>TEXT(B20,"mmmm")</f>
        <v>August</v>
      </c>
      <c r="D20" t="s">
        <v>15</v>
      </c>
      <c r="E20" t="s">
        <v>16</v>
      </c>
      <c r="F20" t="s">
        <v>26</v>
      </c>
      <c r="G20">
        <v>5</v>
      </c>
      <c r="H20">
        <v>55000</v>
      </c>
      <c r="I20" s="8">
        <v>165000</v>
      </c>
      <c r="J20" s="8">
        <f t="shared" si="0"/>
        <v>42000</v>
      </c>
      <c r="K20" s="8">
        <f t="shared" si="1"/>
        <v>-45000</v>
      </c>
      <c r="L20" s="2">
        <f t="shared" si="2"/>
        <v>200000</v>
      </c>
      <c r="M20" s="2">
        <f>I20/L20*100</f>
        <v>82.5</v>
      </c>
      <c r="N20" s="5">
        <f t="shared" si="3"/>
        <v>-0.27272727272727271</v>
      </c>
    </row>
    <row r="21" spans="1:14">
      <c r="A21">
        <v>1018</v>
      </c>
      <c r="B21" s="1">
        <v>46252</v>
      </c>
      <c r="C21" s="1" t="str">
        <f>TEXT(B21,"mmmm")</f>
        <v>August</v>
      </c>
      <c r="D21" t="s">
        <v>19</v>
      </c>
      <c r="E21" t="s">
        <v>20</v>
      </c>
      <c r="F21" t="s">
        <v>24</v>
      </c>
      <c r="G21">
        <v>4</v>
      </c>
      <c r="H21">
        <v>22000</v>
      </c>
      <c r="I21" s="8">
        <v>165000</v>
      </c>
      <c r="J21" s="8">
        <f t="shared" si="0"/>
        <v>14000</v>
      </c>
      <c r="K21" s="8">
        <f t="shared" si="1"/>
        <v>109000</v>
      </c>
      <c r="L21" s="2">
        <f t="shared" si="2"/>
        <v>150000</v>
      </c>
      <c r="M21" s="2">
        <f>I21/L21*100</f>
        <v>110.00000000000001</v>
      </c>
      <c r="N21" s="5">
        <f t="shared" si="3"/>
        <v>0.66060606060606064</v>
      </c>
    </row>
    <row r="22" spans="1:14">
      <c r="A22">
        <v>1019</v>
      </c>
      <c r="B22" s="1">
        <v>46253</v>
      </c>
      <c r="C22" s="1" t="str">
        <f>TEXT(B22,"mmmm")</f>
        <v>August</v>
      </c>
      <c r="D22" t="s">
        <v>22</v>
      </c>
      <c r="E22" t="s">
        <v>23</v>
      </c>
      <c r="F22" t="s">
        <v>17</v>
      </c>
      <c r="G22">
        <v>8</v>
      </c>
      <c r="H22">
        <v>18000</v>
      </c>
      <c r="I22" s="8">
        <v>165000</v>
      </c>
      <c r="J22" s="8">
        <f t="shared" si="0"/>
        <v>25000</v>
      </c>
      <c r="K22" s="8">
        <f t="shared" si="1"/>
        <v>-35000</v>
      </c>
      <c r="L22" s="2">
        <f t="shared" si="2"/>
        <v>100000</v>
      </c>
      <c r="M22" s="2">
        <f>I22/L22*100</f>
        <v>165</v>
      </c>
      <c r="N22" s="5">
        <f t="shared" si="3"/>
        <v>-0.21212121212121213</v>
      </c>
    </row>
    <row r="23" spans="1:14">
      <c r="A23">
        <v>1020</v>
      </c>
      <c r="B23" s="1">
        <v>46254</v>
      </c>
      <c r="C23" s="1" t="str">
        <f>TEXT(B23,"mmmm")</f>
        <v>August</v>
      </c>
      <c r="D23" t="s">
        <v>18</v>
      </c>
      <c r="E23" t="s">
        <v>25</v>
      </c>
      <c r="F23" t="s">
        <v>21</v>
      </c>
      <c r="G23">
        <v>15</v>
      </c>
      <c r="H23">
        <v>2500</v>
      </c>
      <c r="I23" s="8">
        <v>165000</v>
      </c>
      <c r="J23" s="8">
        <f t="shared" si="0"/>
        <v>2000</v>
      </c>
      <c r="K23" s="8">
        <f t="shared" si="1"/>
        <v>135000</v>
      </c>
      <c r="L23" s="2">
        <f t="shared" si="2"/>
        <v>30000</v>
      </c>
      <c r="M23" s="2">
        <f>I23/L23*100</f>
        <v>550</v>
      </c>
      <c r="N23" s="5">
        <f t="shared" si="3"/>
        <v>0.81818181818181823</v>
      </c>
    </row>
    <row r="24" spans="1:14">
      <c r="A24">
        <v>1021</v>
      </c>
      <c r="B24" s="1">
        <v>46255</v>
      </c>
      <c r="C24" s="1" t="str">
        <f>TEXT(B24,"mmmm")</f>
        <v>August</v>
      </c>
      <c r="D24" t="s">
        <v>15</v>
      </c>
      <c r="E24" t="s">
        <v>20</v>
      </c>
      <c r="F24" t="s">
        <v>24</v>
      </c>
      <c r="G24">
        <v>3</v>
      </c>
      <c r="H24">
        <v>55000</v>
      </c>
      <c r="I24" s="8">
        <v>165000</v>
      </c>
      <c r="J24" s="8">
        <f t="shared" si="0"/>
        <v>42000</v>
      </c>
      <c r="K24" s="8">
        <f t="shared" si="1"/>
        <v>39000</v>
      </c>
      <c r="L24" s="2">
        <f t="shared" si="2"/>
        <v>200000</v>
      </c>
      <c r="M24" s="2">
        <f>I24/L24*100</f>
        <v>82.5</v>
      </c>
      <c r="N24" s="5">
        <f t="shared" si="3"/>
        <v>0.23636363636363636</v>
      </c>
    </row>
    <row r="25" spans="1:14">
      <c r="A25">
        <v>1022</v>
      </c>
      <c r="B25" s="1">
        <v>46256</v>
      </c>
      <c r="C25" s="1" t="str">
        <f>TEXT(B25,"mmmm")</f>
        <v>August</v>
      </c>
      <c r="D25" t="s">
        <v>19</v>
      </c>
      <c r="E25" t="s">
        <v>16</v>
      </c>
      <c r="F25" t="s">
        <v>21</v>
      </c>
      <c r="G25">
        <v>8</v>
      </c>
      <c r="H25">
        <v>22000</v>
      </c>
      <c r="I25" s="8">
        <v>165000</v>
      </c>
      <c r="J25" s="8">
        <f t="shared" si="0"/>
        <v>14000</v>
      </c>
      <c r="K25" s="8">
        <f t="shared" si="1"/>
        <v>53000</v>
      </c>
      <c r="L25" s="2">
        <f t="shared" si="2"/>
        <v>150000</v>
      </c>
      <c r="M25" s="2">
        <f>I25/L25*100</f>
        <v>110.00000000000001</v>
      </c>
      <c r="N25" s="5">
        <f t="shared" si="3"/>
        <v>0.32121212121212123</v>
      </c>
    </row>
    <row r="26" spans="1:14">
      <c r="A26">
        <v>1023</v>
      </c>
      <c r="B26" s="1">
        <v>46257</v>
      </c>
      <c r="C26" s="1" t="str">
        <f>TEXT(B26,"mmmm")</f>
        <v>August</v>
      </c>
      <c r="D26" t="s">
        <v>22</v>
      </c>
      <c r="E26" t="s">
        <v>25</v>
      </c>
      <c r="F26" t="s">
        <v>26</v>
      </c>
      <c r="G26">
        <v>4</v>
      </c>
      <c r="H26">
        <v>18000</v>
      </c>
      <c r="I26" s="8">
        <v>165000</v>
      </c>
      <c r="J26" s="8">
        <f t="shared" si="0"/>
        <v>25000</v>
      </c>
      <c r="K26" s="8">
        <f t="shared" si="1"/>
        <v>65000</v>
      </c>
      <c r="L26" s="2">
        <f t="shared" si="2"/>
        <v>100000</v>
      </c>
      <c r="M26" s="2">
        <f>I26/L26*100</f>
        <v>165</v>
      </c>
      <c r="N26" s="5">
        <f t="shared" si="3"/>
        <v>0.39393939393939392</v>
      </c>
    </row>
    <row r="27" spans="1:14">
      <c r="A27">
        <v>1024</v>
      </c>
      <c r="B27" s="1">
        <v>46258</v>
      </c>
      <c r="C27" s="1" t="str">
        <f>TEXT(B27,"mmmm")</f>
        <v>August</v>
      </c>
      <c r="D27" t="s">
        <v>18</v>
      </c>
      <c r="E27" t="s">
        <v>23</v>
      </c>
      <c r="F27" t="s">
        <v>17</v>
      </c>
      <c r="G27">
        <v>11</v>
      </c>
      <c r="H27">
        <v>2500</v>
      </c>
      <c r="I27" s="8">
        <v>165000</v>
      </c>
      <c r="J27" s="8">
        <f t="shared" si="0"/>
        <v>2000</v>
      </c>
      <c r="K27" s="8">
        <f t="shared" si="1"/>
        <v>143000</v>
      </c>
      <c r="L27" s="2">
        <f t="shared" si="2"/>
        <v>30000</v>
      </c>
      <c r="M27" s="2">
        <f>I27/L27*100</f>
        <v>550</v>
      </c>
      <c r="N27" s="5">
        <f t="shared" si="3"/>
        <v>0.8666666666666667</v>
      </c>
    </row>
    <row r="28" spans="1:14">
      <c r="A28">
        <v>1025</v>
      </c>
      <c r="B28" s="1">
        <v>46259</v>
      </c>
      <c r="C28" s="1" t="str">
        <f>TEXT(B28,"mmmm")</f>
        <v>August</v>
      </c>
      <c r="D28" t="s">
        <v>15</v>
      </c>
      <c r="E28" t="s">
        <v>23</v>
      </c>
      <c r="F28" t="s">
        <v>21</v>
      </c>
      <c r="G28">
        <v>2</v>
      </c>
      <c r="H28">
        <v>55000</v>
      </c>
      <c r="I28" s="8">
        <v>165000</v>
      </c>
      <c r="J28" s="8">
        <f t="shared" si="0"/>
        <v>42000</v>
      </c>
      <c r="K28" s="8">
        <f t="shared" si="1"/>
        <v>81000</v>
      </c>
      <c r="L28" s="2">
        <f t="shared" si="2"/>
        <v>200000</v>
      </c>
      <c r="M28" s="2">
        <f>I28/L28*100</f>
        <v>82.5</v>
      </c>
      <c r="N28" s="5">
        <f t="shared" si="3"/>
        <v>0.49090909090909091</v>
      </c>
    </row>
    <row r="29" spans="1:14">
      <c r="A29">
        <v>1026</v>
      </c>
      <c r="B29" s="1">
        <v>46260</v>
      </c>
      <c r="C29" s="1" t="str">
        <f>TEXT(B29,"mmmm")</f>
        <v>August</v>
      </c>
      <c r="D29" t="s">
        <v>19</v>
      </c>
      <c r="E29" t="s">
        <v>25</v>
      </c>
      <c r="F29" t="s">
        <v>24</v>
      </c>
      <c r="G29">
        <v>5</v>
      </c>
      <c r="H29">
        <v>22000</v>
      </c>
      <c r="I29" s="8">
        <v>165000</v>
      </c>
      <c r="J29" s="8">
        <f t="shared" si="0"/>
        <v>14000</v>
      </c>
      <c r="K29" s="8">
        <f t="shared" si="1"/>
        <v>95000</v>
      </c>
      <c r="L29" s="2">
        <f t="shared" si="2"/>
        <v>150000</v>
      </c>
      <c r="M29" s="2">
        <f>I29/L29*100</f>
        <v>110.00000000000001</v>
      </c>
      <c r="N29" s="5">
        <f t="shared" si="3"/>
        <v>0.5757575757575758</v>
      </c>
    </row>
    <row r="30" spans="1:14">
      <c r="A30">
        <v>1027</v>
      </c>
      <c r="B30" s="1">
        <v>46261</v>
      </c>
      <c r="C30" s="1" t="str">
        <f>TEXT(B30,"mmmm")</f>
        <v>August</v>
      </c>
      <c r="D30" t="s">
        <v>22</v>
      </c>
      <c r="E30" t="s">
        <v>16</v>
      </c>
      <c r="F30" t="s">
        <v>17</v>
      </c>
      <c r="G30">
        <v>6</v>
      </c>
      <c r="H30">
        <v>18000</v>
      </c>
      <c r="I30" s="8">
        <v>165000</v>
      </c>
      <c r="J30" s="8">
        <f t="shared" si="0"/>
        <v>25000</v>
      </c>
      <c r="K30" s="8">
        <f t="shared" si="1"/>
        <v>15000</v>
      </c>
      <c r="L30" s="2">
        <f t="shared" si="2"/>
        <v>100000</v>
      </c>
      <c r="M30" s="2">
        <f>I30/L30*100</f>
        <v>165</v>
      </c>
      <c r="N30" s="5">
        <f t="shared" si="3"/>
        <v>9.0909090909090912E-2</v>
      </c>
    </row>
    <row r="31" spans="1:14">
      <c r="A31">
        <v>1028</v>
      </c>
      <c r="B31" s="1">
        <v>46262</v>
      </c>
      <c r="C31" s="1" t="str">
        <f>TEXT(B31,"mmmm")</f>
        <v>August</v>
      </c>
      <c r="D31" t="s">
        <v>18</v>
      </c>
      <c r="E31" t="s">
        <v>20</v>
      </c>
      <c r="F31" t="s">
        <v>26</v>
      </c>
      <c r="G31">
        <v>14</v>
      </c>
      <c r="H31">
        <v>2500</v>
      </c>
      <c r="I31" s="8">
        <v>165000</v>
      </c>
      <c r="J31" s="8">
        <f t="shared" si="0"/>
        <v>2000</v>
      </c>
      <c r="K31" s="8">
        <f t="shared" si="1"/>
        <v>137000</v>
      </c>
      <c r="L31" s="2">
        <f t="shared" si="2"/>
        <v>30000</v>
      </c>
      <c r="M31" s="2">
        <f>I31/L31*100</f>
        <v>550</v>
      </c>
      <c r="N31" s="5">
        <f t="shared" si="3"/>
        <v>0.83030303030303032</v>
      </c>
    </row>
    <row r="32" spans="1:14">
      <c r="A32">
        <v>1029</v>
      </c>
      <c r="B32" s="1">
        <v>46263</v>
      </c>
      <c r="C32" s="1" t="str">
        <f>TEXT(B32,"mmmm")</f>
        <v>August</v>
      </c>
      <c r="D32" t="s">
        <v>15</v>
      </c>
      <c r="E32" t="s">
        <v>25</v>
      </c>
      <c r="F32" t="s">
        <v>26</v>
      </c>
      <c r="G32">
        <v>4</v>
      </c>
      <c r="H32">
        <v>55000</v>
      </c>
      <c r="I32" s="8">
        <v>165000</v>
      </c>
      <c r="J32" s="8">
        <f t="shared" si="0"/>
        <v>42000</v>
      </c>
      <c r="K32" s="8">
        <f t="shared" si="1"/>
        <v>-3000</v>
      </c>
      <c r="L32" s="2">
        <f t="shared" si="2"/>
        <v>200000</v>
      </c>
      <c r="M32" s="2">
        <f>I32/L32*100</f>
        <v>82.5</v>
      </c>
      <c r="N32" s="5">
        <f t="shared" si="3"/>
        <v>-1.8181818181818181E-2</v>
      </c>
    </row>
    <row r="33" spans="1:14">
      <c r="A33">
        <v>1030</v>
      </c>
      <c r="B33" s="1">
        <v>46264</v>
      </c>
      <c r="C33" s="1" t="str">
        <f>TEXT(B33,"mmmm")</f>
        <v>August</v>
      </c>
      <c r="D33" t="s">
        <v>19</v>
      </c>
      <c r="E33" t="s">
        <v>23</v>
      </c>
      <c r="F33" t="s">
        <v>17</v>
      </c>
      <c r="G33">
        <v>7</v>
      </c>
      <c r="H33">
        <v>22000</v>
      </c>
      <c r="I33" s="8">
        <v>165000</v>
      </c>
      <c r="J33" s="8">
        <f t="shared" si="0"/>
        <v>14000</v>
      </c>
      <c r="K33" s="8">
        <f t="shared" si="1"/>
        <v>67000</v>
      </c>
      <c r="L33" s="2">
        <f t="shared" si="2"/>
        <v>150000</v>
      </c>
      <c r="M33" s="2">
        <f>I33/L33*100</f>
        <v>110.00000000000001</v>
      </c>
      <c r="N33" s="5">
        <f t="shared" si="3"/>
        <v>0.40606060606060607</v>
      </c>
    </row>
    <row r="34" spans="1:14">
      <c r="A34">
        <v>1031</v>
      </c>
      <c r="B34" s="1">
        <v>46265</v>
      </c>
      <c r="C34" s="1" t="str">
        <f>TEXT(B34,"mmmm")</f>
        <v>August</v>
      </c>
      <c r="D34" t="s">
        <v>22</v>
      </c>
      <c r="E34" t="s">
        <v>20</v>
      </c>
      <c r="F34" t="s">
        <v>21</v>
      </c>
      <c r="G34">
        <v>5</v>
      </c>
      <c r="H34">
        <v>18000</v>
      </c>
      <c r="I34" s="8">
        <v>165000</v>
      </c>
      <c r="J34" s="8">
        <f t="shared" si="0"/>
        <v>25000</v>
      </c>
      <c r="K34" s="8">
        <f t="shared" si="1"/>
        <v>40000</v>
      </c>
      <c r="L34" s="2">
        <f t="shared" si="2"/>
        <v>100000</v>
      </c>
      <c r="M34" s="2">
        <f>I34/L34*100</f>
        <v>165</v>
      </c>
      <c r="N34" s="5">
        <f t="shared" si="3"/>
        <v>0.24242424242424243</v>
      </c>
    </row>
    <row r="35" spans="1:14">
      <c r="A35">
        <v>1032</v>
      </c>
      <c r="B35" s="1">
        <v>46266</v>
      </c>
      <c r="C35" s="1" t="str">
        <f>TEXT(B35,"mmmm")</f>
        <v>September</v>
      </c>
      <c r="D35" t="s">
        <v>18</v>
      </c>
      <c r="E35" t="s">
        <v>16</v>
      </c>
      <c r="F35" t="s">
        <v>24</v>
      </c>
      <c r="G35">
        <v>13</v>
      </c>
      <c r="H35">
        <v>2500</v>
      </c>
      <c r="I35" s="8">
        <v>165000</v>
      </c>
      <c r="J35" s="8">
        <f t="shared" si="0"/>
        <v>2000</v>
      </c>
      <c r="K35" s="8">
        <f t="shared" si="1"/>
        <v>139000</v>
      </c>
      <c r="L35" s="2">
        <f t="shared" si="2"/>
        <v>30000</v>
      </c>
      <c r="M35" s="2">
        <f>I35/L35*100</f>
        <v>550</v>
      </c>
      <c r="N35" s="5">
        <f t="shared" si="3"/>
        <v>0.84242424242424241</v>
      </c>
    </row>
    <row r="36" spans="1:14">
      <c r="A36">
        <v>1033</v>
      </c>
      <c r="B36" s="1">
        <v>46267</v>
      </c>
      <c r="C36" s="1" t="str">
        <f>TEXT(B36,"mmmm")</f>
        <v>September</v>
      </c>
      <c r="D36" t="s">
        <v>15</v>
      </c>
      <c r="E36" t="s">
        <v>16</v>
      </c>
      <c r="F36" t="s">
        <v>21</v>
      </c>
      <c r="G36">
        <v>3</v>
      </c>
      <c r="H36">
        <v>55000</v>
      </c>
      <c r="I36" s="8">
        <v>165000</v>
      </c>
      <c r="J36" s="8">
        <f t="shared" si="0"/>
        <v>42000</v>
      </c>
      <c r="K36" s="8">
        <f t="shared" si="1"/>
        <v>39000</v>
      </c>
      <c r="L36" s="2">
        <f t="shared" si="2"/>
        <v>200000</v>
      </c>
      <c r="M36" s="2">
        <f>I36/L36*100</f>
        <v>82.5</v>
      </c>
      <c r="N36" s="5">
        <f t="shared" si="3"/>
        <v>0.23636363636363636</v>
      </c>
    </row>
    <row r="37" spans="1:14">
      <c r="A37">
        <v>1034</v>
      </c>
      <c r="B37" s="1">
        <v>46268</v>
      </c>
      <c r="C37" s="1" t="str">
        <f>TEXT(B37,"mmmm")</f>
        <v>September</v>
      </c>
      <c r="D37" t="s">
        <v>19</v>
      </c>
      <c r="E37" t="s">
        <v>20</v>
      </c>
      <c r="F37" t="s">
        <v>26</v>
      </c>
      <c r="G37">
        <v>6</v>
      </c>
      <c r="H37">
        <v>22000</v>
      </c>
      <c r="I37" s="8">
        <v>165000</v>
      </c>
      <c r="J37" s="8">
        <f t="shared" si="0"/>
        <v>14000</v>
      </c>
      <c r="K37" s="8">
        <f t="shared" si="1"/>
        <v>81000</v>
      </c>
      <c r="L37" s="2">
        <f t="shared" si="2"/>
        <v>150000</v>
      </c>
      <c r="M37" s="2">
        <f>I37/L37*100</f>
        <v>110.00000000000001</v>
      </c>
      <c r="N37" s="5">
        <f t="shared" si="3"/>
        <v>0.49090909090909091</v>
      </c>
    </row>
    <row r="38" spans="1:14">
      <c r="A38">
        <v>1035</v>
      </c>
      <c r="B38" s="1">
        <v>46269</v>
      </c>
      <c r="C38" s="1" t="str">
        <f>TEXT(B38,"mmmm")</f>
        <v>September</v>
      </c>
      <c r="D38" t="s">
        <v>22</v>
      </c>
      <c r="E38" t="s">
        <v>23</v>
      </c>
      <c r="F38" t="s">
        <v>24</v>
      </c>
      <c r="G38">
        <v>9</v>
      </c>
      <c r="H38">
        <v>18000</v>
      </c>
      <c r="I38" s="8">
        <v>165000</v>
      </c>
      <c r="J38" s="8">
        <f t="shared" si="0"/>
        <v>25000</v>
      </c>
      <c r="K38" s="8">
        <f t="shared" si="1"/>
        <v>-60000</v>
      </c>
      <c r="L38" s="2">
        <f t="shared" si="2"/>
        <v>100000</v>
      </c>
      <c r="M38" s="2">
        <f>I38/L38*100</f>
        <v>165</v>
      </c>
      <c r="N38" s="5">
        <f t="shared" si="3"/>
        <v>-0.36363636363636365</v>
      </c>
    </row>
    <row r="39" spans="1:14">
      <c r="A39">
        <v>1036</v>
      </c>
      <c r="B39" s="1">
        <v>46270</v>
      </c>
      <c r="C39" s="1" t="str">
        <f>TEXT(B39,"mmmm")</f>
        <v>September</v>
      </c>
      <c r="D39" t="s">
        <v>18</v>
      </c>
      <c r="E39" t="s">
        <v>25</v>
      </c>
      <c r="F39" t="s">
        <v>17</v>
      </c>
      <c r="G39">
        <v>16</v>
      </c>
      <c r="H39">
        <v>2500</v>
      </c>
      <c r="I39" s="8">
        <v>165000</v>
      </c>
      <c r="J39" s="8">
        <f t="shared" si="0"/>
        <v>2000</v>
      </c>
      <c r="K39" s="8">
        <f t="shared" si="1"/>
        <v>133000</v>
      </c>
      <c r="L39" s="2">
        <f t="shared" si="2"/>
        <v>30000</v>
      </c>
      <c r="M39" s="2">
        <f>I39/L39*100</f>
        <v>550</v>
      </c>
      <c r="N39" s="5">
        <f t="shared" si="3"/>
        <v>0.80606060606060603</v>
      </c>
    </row>
    <row r="40" spans="1:14">
      <c r="A40">
        <v>1037</v>
      </c>
      <c r="B40" s="1">
        <v>46271</v>
      </c>
      <c r="C40" s="1" t="str">
        <f>TEXT(B40,"mmmm")</f>
        <v>September</v>
      </c>
      <c r="D40" t="s">
        <v>15</v>
      </c>
      <c r="E40" t="s">
        <v>20</v>
      </c>
      <c r="F40" t="s">
        <v>26</v>
      </c>
      <c r="G40">
        <v>2</v>
      </c>
      <c r="H40">
        <v>55000</v>
      </c>
      <c r="I40" s="8">
        <v>165000</v>
      </c>
      <c r="J40" s="8">
        <f t="shared" si="0"/>
        <v>42000</v>
      </c>
      <c r="K40" s="8">
        <f t="shared" si="1"/>
        <v>81000</v>
      </c>
      <c r="L40" s="2">
        <f t="shared" si="2"/>
        <v>200000</v>
      </c>
      <c r="M40" s="2">
        <f>I40/L40*100</f>
        <v>82.5</v>
      </c>
      <c r="N40" s="5">
        <f t="shared" si="3"/>
        <v>0.49090909090909091</v>
      </c>
    </row>
    <row r="41" spans="1:14">
      <c r="A41">
        <v>1038</v>
      </c>
      <c r="B41" s="1">
        <v>46272</v>
      </c>
      <c r="C41" s="1" t="str">
        <f>TEXT(B41,"mmmm")</f>
        <v>September</v>
      </c>
      <c r="D41" t="s">
        <v>19</v>
      </c>
      <c r="E41" t="s">
        <v>16</v>
      </c>
      <c r="F41" t="s">
        <v>17</v>
      </c>
      <c r="G41">
        <v>9</v>
      </c>
      <c r="H41">
        <v>22000</v>
      </c>
      <c r="I41" s="8">
        <v>165000</v>
      </c>
      <c r="J41" s="8">
        <f t="shared" si="0"/>
        <v>14000</v>
      </c>
      <c r="K41" s="8">
        <f t="shared" si="1"/>
        <v>39000</v>
      </c>
      <c r="L41" s="2">
        <f t="shared" si="2"/>
        <v>150000</v>
      </c>
      <c r="M41" s="2">
        <f>I41/L41*100</f>
        <v>110.00000000000001</v>
      </c>
      <c r="N41" s="5">
        <f t="shared" si="3"/>
        <v>0.23636363636363636</v>
      </c>
    </row>
    <row r="42" spans="1:14">
      <c r="A42">
        <v>1039</v>
      </c>
      <c r="B42" s="1">
        <v>46273</v>
      </c>
      <c r="C42" s="1" t="str">
        <f>TEXT(B42,"mmmm")</f>
        <v>September</v>
      </c>
      <c r="D42" t="s">
        <v>22</v>
      </c>
      <c r="E42" t="s">
        <v>25</v>
      </c>
      <c r="F42" t="s">
        <v>24</v>
      </c>
      <c r="G42">
        <v>6</v>
      </c>
      <c r="H42">
        <v>18000</v>
      </c>
      <c r="I42" s="8">
        <v>165000</v>
      </c>
      <c r="J42" s="8">
        <f t="shared" si="0"/>
        <v>25000</v>
      </c>
      <c r="K42" s="8">
        <f t="shared" si="1"/>
        <v>15000</v>
      </c>
      <c r="L42" s="2">
        <f t="shared" si="2"/>
        <v>100000</v>
      </c>
      <c r="M42" s="2">
        <f>I42/L42*100</f>
        <v>165</v>
      </c>
      <c r="N42" s="5">
        <f t="shared" si="3"/>
        <v>9.0909090909090912E-2</v>
      </c>
    </row>
    <row r="43" spans="1:14">
      <c r="A43">
        <v>1040</v>
      </c>
      <c r="B43" s="1">
        <v>46274</v>
      </c>
      <c r="C43" s="1" t="str">
        <f>TEXT(B43,"mmmm")</f>
        <v>September</v>
      </c>
      <c r="D43" t="s">
        <v>18</v>
      </c>
      <c r="E43" t="s">
        <v>23</v>
      </c>
      <c r="F43" t="s">
        <v>21</v>
      </c>
      <c r="G43">
        <v>12</v>
      </c>
      <c r="H43">
        <v>2500</v>
      </c>
      <c r="I43" s="8">
        <v>165000</v>
      </c>
      <c r="J43" s="8">
        <f t="shared" si="0"/>
        <v>2000</v>
      </c>
      <c r="K43" s="8">
        <f t="shared" si="1"/>
        <v>141000</v>
      </c>
      <c r="L43" s="2">
        <f t="shared" si="2"/>
        <v>30000</v>
      </c>
      <c r="M43" s="2">
        <f>I43/L43*100</f>
        <v>550</v>
      </c>
      <c r="N43" s="5">
        <f t="shared" si="3"/>
        <v>0.8545454545454545</v>
      </c>
    </row>
    <row r="44" spans="1:14">
      <c r="A44">
        <v>1041</v>
      </c>
      <c r="B44" s="1">
        <v>46275</v>
      </c>
      <c r="C44" s="1" t="str">
        <f>TEXT(B44,"mmmm")</f>
        <v>September</v>
      </c>
      <c r="D44" t="s">
        <v>15</v>
      </c>
      <c r="E44" t="s">
        <v>23</v>
      </c>
      <c r="F44" t="s">
        <v>17</v>
      </c>
      <c r="G44">
        <v>5</v>
      </c>
      <c r="H44">
        <v>55000</v>
      </c>
      <c r="I44" s="8">
        <v>165000</v>
      </c>
      <c r="J44" s="8">
        <f t="shared" si="0"/>
        <v>42000</v>
      </c>
      <c r="K44" s="8">
        <f t="shared" si="1"/>
        <v>-45000</v>
      </c>
      <c r="L44" s="2">
        <f t="shared" si="2"/>
        <v>200000</v>
      </c>
      <c r="M44" s="2">
        <f>I44/L44*100</f>
        <v>82.5</v>
      </c>
      <c r="N44" s="5">
        <f t="shared" si="3"/>
        <v>-0.27272727272727271</v>
      </c>
    </row>
    <row r="45" spans="1:14">
      <c r="A45">
        <v>1042</v>
      </c>
      <c r="B45" s="1">
        <v>46276</v>
      </c>
      <c r="C45" s="1" t="str">
        <f>TEXT(B45,"mmmm")</f>
        <v>September</v>
      </c>
      <c r="D45" t="s">
        <v>19</v>
      </c>
      <c r="E45" t="s">
        <v>25</v>
      </c>
      <c r="F45" t="s">
        <v>21</v>
      </c>
      <c r="G45">
        <v>4</v>
      </c>
      <c r="H45">
        <v>22000</v>
      </c>
      <c r="I45" s="8">
        <v>165000</v>
      </c>
      <c r="J45" s="8">
        <f t="shared" si="0"/>
        <v>14000</v>
      </c>
      <c r="K45" s="8">
        <f t="shared" si="1"/>
        <v>109000</v>
      </c>
      <c r="L45" s="2">
        <f t="shared" si="2"/>
        <v>150000</v>
      </c>
      <c r="M45" s="2">
        <f>I45/L45*100</f>
        <v>110.00000000000001</v>
      </c>
      <c r="N45" s="5">
        <f t="shared" si="3"/>
        <v>0.66060606060606064</v>
      </c>
    </row>
    <row r="46" spans="1:14">
      <c r="A46">
        <v>1043</v>
      </c>
      <c r="B46" s="1">
        <v>46277</v>
      </c>
      <c r="C46" s="1" t="str">
        <f>TEXT(B46,"mmmm")</f>
        <v>September</v>
      </c>
      <c r="D46" t="s">
        <v>22</v>
      </c>
      <c r="E46" t="s">
        <v>16</v>
      </c>
      <c r="F46" t="s">
        <v>26</v>
      </c>
      <c r="G46">
        <v>7</v>
      </c>
      <c r="H46">
        <v>18000</v>
      </c>
      <c r="I46" s="8">
        <v>165000</v>
      </c>
      <c r="J46" s="8">
        <f t="shared" si="0"/>
        <v>25000</v>
      </c>
      <c r="K46" s="8">
        <f t="shared" si="1"/>
        <v>-10000</v>
      </c>
      <c r="L46" s="2">
        <f t="shared" si="2"/>
        <v>100000</v>
      </c>
      <c r="M46" s="2">
        <f>I46/L46*100</f>
        <v>165</v>
      </c>
      <c r="N46" s="5">
        <f t="shared" si="3"/>
        <v>-6.0606060606060608E-2</v>
      </c>
    </row>
    <row r="47" spans="1:14">
      <c r="A47">
        <v>1044</v>
      </c>
      <c r="B47" s="1">
        <v>46278</v>
      </c>
      <c r="C47" s="1" t="str">
        <f>TEXT(B47,"mmmm")</f>
        <v>September</v>
      </c>
      <c r="D47" t="s">
        <v>18</v>
      </c>
      <c r="E47" t="s">
        <v>20</v>
      </c>
      <c r="F47" t="s">
        <v>24</v>
      </c>
      <c r="G47">
        <v>18</v>
      </c>
      <c r="H47">
        <v>2500</v>
      </c>
      <c r="I47" s="8">
        <v>165000</v>
      </c>
      <c r="J47" s="8">
        <f t="shared" si="0"/>
        <v>2000</v>
      </c>
      <c r="K47" s="8">
        <f t="shared" si="1"/>
        <v>129000</v>
      </c>
      <c r="L47" s="2">
        <f t="shared" si="2"/>
        <v>30000</v>
      </c>
      <c r="M47" s="2">
        <f>I47/L47*100</f>
        <v>550</v>
      </c>
      <c r="N47" s="5">
        <f t="shared" si="3"/>
        <v>0.78181818181818186</v>
      </c>
    </row>
    <row r="48" spans="1:14">
      <c r="A48">
        <v>1045</v>
      </c>
      <c r="B48" s="1">
        <v>46279</v>
      </c>
      <c r="C48" s="1" t="str">
        <f>TEXT(B48,"mmmm")</f>
        <v>September</v>
      </c>
      <c r="D48" t="s">
        <v>15</v>
      </c>
      <c r="E48" t="s">
        <v>25</v>
      </c>
      <c r="F48" t="s">
        <v>24</v>
      </c>
      <c r="G48">
        <v>3</v>
      </c>
      <c r="H48">
        <v>55000</v>
      </c>
      <c r="I48" s="8">
        <v>165000</v>
      </c>
      <c r="J48" s="8">
        <f t="shared" si="0"/>
        <v>42000</v>
      </c>
      <c r="K48" s="8">
        <f t="shared" si="1"/>
        <v>39000</v>
      </c>
      <c r="L48" s="2">
        <f t="shared" si="2"/>
        <v>200000</v>
      </c>
      <c r="M48" s="2">
        <f>I48/L48*100</f>
        <v>82.5</v>
      </c>
      <c r="N48" s="5">
        <f t="shared" si="3"/>
        <v>0.23636363636363636</v>
      </c>
    </row>
    <row r="49" spans="1:14">
      <c r="A49">
        <v>1046</v>
      </c>
      <c r="B49" s="1">
        <v>46280</v>
      </c>
      <c r="C49" s="1" t="str">
        <f>TEXT(B49,"mmmm")</f>
        <v>September</v>
      </c>
      <c r="D49" t="s">
        <v>19</v>
      </c>
      <c r="E49" t="s">
        <v>23</v>
      </c>
      <c r="F49" t="s">
        <v>26</v>
      </c>
      <c r="G49">
        <v>8</v>
      </c>
      <c r="H49">
        <v>22000</v>
      </c>
      <c r="I49" s="8">
        <v>165000</v>
      </c>
      <c r="J49" s="8">
        <f t="shared" si="0"/>
        <v>14000</v>
      </c>
      <c r="K49" s="8">
        <f t="shared" si="1"/>
        <v>53000</v>
      </c>
      <c r="L49" s="2">
        <f t="shared" si="2"/>
        <v>150000</v>
      </c>
      <c r="M49" s="2">
        <f>I49/L49*100</f>
        <v>110.00000000000001</v>
      </c>
      <c r="N49" s="5">
        <f t="shared" si="3"/>
        <v>0.32121212121212123</v>
      </c>
    </row>
    <row r="50" spans="1:14">
      <c r="A50">
        <v>1047</v>
      </c>
      <c r="B50" s="1">
        <v>46281</v>
      </c>
      <c r="C50" s="1" t="str">
        <f>TEXT(B50,"mmmm")</f>
        <v>September</v>
      </c>
      <c r="D50" t="s">
        <v>22</v>
      </c>
      <c r="E50" t="s">
        <v>20</v>
      </c>
      <c r="F50" t="s">
        <v>17</v>
      </c>
      <c r="G50">
        <v>6</v>
      </c>
      <c r="H50">
        <v>18000</v>
      </c>
      <c r="I50" s="8">
        <v>165000</v>
      </c>
      <c r="J50" s="8">
        <f t="shared" si="0"/>
        <v>25000</v>
      </c>
      <c r="K50" s="8">
        <f t="shared" si="1"/>
        <v>15000</v>
      </c>
      <c r="L50" s="2">
        <f t="shared" si="2"/>
        <v>100000</v>
      </c>
      <c r="M50" s="2">
        <f>I50/L50*100</f>
        <v>165</v>
      </c>
      <c r="N50" s="5">
        <f t="shared" si="3"/>
        <v>9.0909090909090912E-2</v>
      </c>
    </row>
    <row r="51" spans="1:14">
      <c r="A51">
        <v>1048</v>
      </c>
      <c r="B51" s="1">
        <v>46282</v>
      </c>
      <c r="C51" s="1" t="str">
        <f>TEXT(B51,"mmmm")</f>
        <v>September</v>
      </c>
      <c r="D51" t="s">
        <v>18</v>
      </c>
      <c r="E51" t="s">
        <v>16</v>
      </c>
      <c r="F51" t="s">
        <v>21</v>
      </c>
      <c r="G51">
        <v>10</v>
      </c>
      <c r="H51">
        <v>2500</v>
      </c>
      <c r="I51" s="8">
        <v>165000</v>
      </c>
      <c r="J51" s="8">
        <f t="shared" si="0"/>
        <v>2000</v>
      </c>
      <c r="K51" s="8">
        <f t="shared" si="1"/>
        <v>145000</v>
      </c>
      <c r="L51" s="2">
        <f t="shared" si="2"/>
        <v>30000</v>
      </c>
      <c r="M51" s="2">
        <f>I51/L51*100</f>
        <v>550</v>
      </c>
      <c r="N51" s="5">
        <f t="shared" si="3"/>
        <v>0.87878787878787878</v>
      </c>
    </row>
    <row r="52" spans="1:14">
      <c r="A52">
        <v>1049</v>
      </c>
      <c r="B52" s="1">
        <v>46283</v>
      </c>
      <c r="C52" s="1" t="str">
        <f>TEXT(B52,"mmmm")</f>
        <v>September</v>
      </c>
      <c r="D52" t="s">
        <v>15</v>
      </c>
      <c r="E52" t="s">
        <v>16</v>
      </c>
      <c r="F52" t="s">
        <v>24</v>
      </c>
      <c r="G52">
        <v>4</v>
      </c>
      <c r="H52">
        <v>55000</v>
      </c>
      <c r="I52" s="8">
        <v>165000</v>
      </c>
      <c r="J52" s="8">
        <f t="shared" si="0"/>
        <v>42000</v>
      </c>
      <c r="K52" s="8">
        <f t="shared" si="1"/>
        <v>-3000</v>
      </c>
      <c r="L52" s="2">
        <f t="shared" si="2"/>
        <v>200000</v>
      </c>
      <c r="M52" s="2">
        <f>I52/L52*100</f>
        <v>82.5</v>
      </c>
      <c r="N52" s="5">
        <f t="shared" si="3"/>
        <v>-1.8181818181818181E-2</v>
      </c>
    </row>
    <row r="53" spans="1:14">
      <c r="A53">
        <v>1050</v>
      </c>
      <c r="B53" s="1">
        <v>46284</v>
      </c>
      <c r="C53" s="1" t="str">
        <f>TEXT(B53,"mmmm")</f>
        <v>September</v>
      </c>
      <c r="D53" t="s">
        <v>19</v>
      </c>
      <c r="E53" t="s">
        <v>20</v>
      </c>
      <c r="F53" t="s">
        <v>17</v>
      </c>
      <c r="G53">
        <v>7</v>
      </c>
      <c r="H53">
        <v>22000</v>
      </c>
      <c r="I53" s="8">
        <v>165000</v>
      </c>
      <c r="J53" s="8">
        <f t="shared" si="0"/>
        <v>14000</v>
      </c>
      <c r="K53" s="8">
        <f t="shared" si="1"/>
        <v>67000</v>
      </c>
      <c r="L53" s="2">
        <f t="shared" si="2"/>
        <v>150000</v>
      </c>
      <c r="M53" s="2">
        <f>I53/L53*100</f>
        <v>110.00000000000001</v>
      </c>
      <c r="N53" s="5">
        <f t="shared" si="3"/>
        <v>0.40606060606060607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2720-0F3A-403C-B5C5-F4C39BEA265B}">
  <dimension ref="A1:S53"/>
  <sheetViews>
    <sheetView topLeftCell="G1" workbookViewId="0">
      <selection activeCell="Q3" sqref="Q3:R7"/>
    </sheetView>
  </sheetViews>
  <sheetFormatPr defaultRowHeight="15"/>
  <cols>
    <col min="2" max="2" width="11.42578125" bestFit="1" customWidth="1"/>
    <col min="16" max="16" width="15" bestFit="1" customWidth="1"/>
    <col min="17" max="17" width="20.42578125" bestFit="1" customWidth="1"/>
    <col min="18" max="18" width="13.42578125" bestFit="1" customWidth="1"/>
    <col min="19" max="19" width="27.28515625" bestFit="1" customWidth="1"/>
  </cols>
  <sheetData>
    <row r="1" spans="1:19" ht="18.75">
      <c r="A1" s="9" t="s">
        <v>64</v>
      </c>
      <c r="B1" s="10"/>
      <c r="C1" s="10"/>
      <c r="D1" s="10"/>
      <c r="E1" s="10"/>
      <c r="F1" s="10"/>
      <c r="G1" s="10"/>
      <c r="H1" s="11"/>
    </row>
    <row r="3" spans="1:1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58</v>
      </c>
      <c r="K3" t="s">
        <v>59</v>
      </c>
      <c r="L3" t="s">
        <v>10</v>
      </c>
      <c r="M3" t="s">
        <v>11</v>
      </c>
      <c r="N3" t="s">
        <v>60</v>
      </c>
      <c r="Q3" s="7" t="s">
        <v>4</v>
      </c>
      <c r="R3" s="7" t="s">
        <v>61</v>
      </c>
    </row>
    <row r="4" spans="1:19">
      <c r="A4">
        <v>1001</v>
      </c>
      <c r="B4" s="1">
        <v>46235</v>
      </c>
      <c r="C4" s="1" t="str">
        <f>TEXT(B4,"mmmm")</f>
        <v>August</v>
      </c>
      <c r="D4" t="s">
        <v>15</v>
      </c>
      <c r="E4" t="s">
        <v>16</v>
      </c>
      <c r="F4" t="s">
        <v>17</v>
      </c>
      <c r="G4">
        <v>3</v>
      </c>
      <c r="H4">
        <v>55000</v>
      </c>
      <c r="I4" s="8">
        <v>165000</v>
      </c>
      <c r="J4" s="8">
        <f>_xlfn.XLOOKUP(D4,$Q$4:$Q$7,$R$4:$R$7,"Not founded")</f>
        <v>42000</v>
      </c>
      <c r="K4" s="8">
        <f>I4-(J4*G4)</f>
        <v>39000</v>
      </c>
      <c r="L4" s="2">
        <f>IF(D4 = "Laptop",200000,IF( D4 = "Mobile",150000,IF(D4 = "Tablet",100000,IF(D4 = "Headphones",30000,""))))</f>
        <v>200000</v>
      </c>
      <c r="M4" s="2">
        <f>I4/L4*100</f>
        <v>82.5</v>
      </c>
      <c r="N4" s="5">
        <f>K4/I4</f>
        <v>0.23636363636363636</v>
      </c>
      <c r="Q4" t="s">
        <v>15</v>
      </c>
      <c r="R4" s="8">
        <v>42000</v>
      </c>
    </row>
    <row r="5" spans="1:19">
      <c r="A5">
        <v>1002</v>
      </c>
      <c r="B5" s="1">
        <v>46236</v>
      </c>
      <c r="C5" s="1" t="str">
        <f>TEXT(B5,"mmmm")</f>
        <v>August</v>
      </c>
      <c r="D5" t="s">
        <v>19</v>
      </c>
      <c r="E5" t="s">
        <v>20</v>
      </c>
      <c r="F5" t="s">
        <v>21</v>
      </c>
      <c r="G5">
        <v>5</v>
      </c>
      <c r="H5">
        <v>22000</v>
      </c>
      <c r="I5" s="8">
        <v>165000</v>
      </c>
      <c r="J5" s="8">
        <f t="shared" ref="J5:J53" si="0">_xlfn.XLOOKUP(D5,$Q$4:$Q$7,$R$4:$R$7,"Not founded")</f>
        <v>14000</v>
      </c>
      <c r="K5" s="8">
        <f t="shared" ref="K5:K53" si="1">I5-(J5*G5)</f>
        <v>95000</v>
      </c>
      <c r="L5" s="2">
        <f t="shared" ref="L5:L53" si="2">IF(D5 = "Laptop",200000,IF( D5 = "Mobile",150000,IF(D5 = "Tablet",100000,IF(D5 = "Headphones",30000,""))))</f>
        <v>150000</v>
      </c>
      <c r="M5" s="2">
        <f>I5/L5*100</f>
        <v>110.00000000000001</v>
      </c>
      <c r="N5" s="5">
        <f t="shared" ref="N5:N53" si="3">K5/I5</f>
        <v>0.5757575757575758</v>
      </c>
      <c r="Q5" t="s">
        <v>19</v>
      </c>
      <c r="R5" s="8">
        <v>14000</v>
      </c>
    </row>
    <row r="6" spans="1:19">
      <c r="A6">
        <v>1003</v>
      </c>
      <c r="B6" s="1">
        <v>46237</v>
      </c>
      <c r="C6" s="1" t="str">
        <f>TEXT(B6,"mmmm")</f>
        <v>August</v>
      </c>
      <c r="D6" t="s">
        <v>22</v>
      </c>
      <c r="E6" t="s">
        <v>23</v>
      </c>
      <c r="F6" t="s">
        <v>24</v>
      </c>
      <c r="G6">
        <v>4</v>
      </c>
      <c r="H6">
        <v>18000</v>
      </c>
      <c r="I6" s="8">
        <v>165000</v>
      </c>
      <c r="J6" s="8">
        <f t="shared" si="0"/>
        <v>25000</v>
      </c>
      <c r="K6" s="8">
        <f t="shared" si="1"/>
        <v>65000</v>
      </c>
      <c r="L6" s="2">
        <f t="shared" si="2"/>
        <v>100000</v>
      </c>
      <c r="M6" s="2">
        <f>I6/L6*100</f>
        <v>165</v>
      </c>
      <c r="N6" s="5">
        <f t="shared" si="3"/>
        <v>0.39393939393939392</v>
      </c>
      <c r="Q6" t="s">
        <v>22</v>
      </c>
      <c r="R6" s="8">
        <v>25000</v>
      </c>
    </row>
    <row r="7" spans="1:19">
      <c r="A7">
        <v>1004</v>
      </c>
      <c r="B7" s="1">
        <v>46238</v>
      </c>
      <c r="C7" s="1" t="str">
        <f>TEXT(B7,"mmmm")</f>
        <v>August</v>
      </c>
      <c r="D7" t="s">
        <v>18</v>
      </c>
      <c r="E7" t="s">
        <v>25</v>
      </c>
      <c r="F7" t="s">
        <v>26</v>
      </c>
      <c r="G7">
        <v>8</v>
      </c>
      <c r="H7">
        <v>2500</v>
      </c>
      <c r="I7" s="8">
        <v>165000</v>
      </c>
      <c r="J7" s="8">
        <f t="shared" si="0"/>
        <v>2000</v>
      </c>
      <c r="K7" s="8">
        <f t="shared" si="1"/>
        <v>149000</v>
      </c>
      <c r="L7" s="2">
        <f t="shared" si="2"/>
        <v>30000</v>
      </c>
      <c r="M7" s="2">
        <f>I7/L7*100</f>
        <v>550</v>
      </c>
      <c r="N7" s="5">
        <f t="shared" si="3"/>
        <v>0.90303030303030307</v>
      </c>
      <c r="Q7" t="s">
        <v>18</v>
      </c>
      <c r="R7" s="8">
        <v>2000</v>
      </c>
    </row>
    <row r="8" spans="1:19">
      <c r="A8">
        <v>1005</v>
      </c>
      <c r="B8" s="1">
        <v>46239</v>
      </c>
      <c r="C8" s="1" t="str">
        <f>TEXT(B8,"mmmm")</f>
        <v>August</v>
      </c>
      <c r="D8" t="s">
        <v>15</v>
      </c>
      <c r="E8" t="s">
        <v>20</v>
      </c>
      <c r="F8" t="s">
        <v>17</v>
      </c>
      <c r="G8">
        <v>2</v>
      </c>
      <c r="H8">
        <v>55000</v>
      </c>
      <c r="I8" s="8">
        <v>165000</v>
      </c>
      <c r="J8" s="8">
        <f t="shared" si="0"/>
        <v>42000</v>
      </c>
      <c r="K8" s="8">
        <f t="shared" si="1"/>
        <v>81000</v>
      </c>
      <c r="L8" s="2">
        <f t="shared" si="2"/>
        <v>200000</v>
      </c>
      <c r="M8" s="2">
        <f>I8/L8*100</f>
        <v>82.5</v>
      </c>
      <c r="N8" s="5">
        <f t="shared" si="3"/>
        <v>0.49090909090909091</v>
      </c>
    </row>
    <row r="9" spans="1:19">
      <c r="A9">
        <v>1006</v>
      </c>
      <c r="B9" s="1">
        <v>46240</v>
      </c>
      <c r="C9" s="1" t="str">
        <f>TEXT(B9,"mmmm")</f>
        <v>August</v>
      </c>
      <c r="D9" t="s">
        <v>19</v>
      </c>
      <c r="E9" t="s">
        <v>16</v>
      </c>
      <c r="F9" t="s">
        <v>24</v>
      </c>
      <c r="G9">
        <v>7</v>
      </c>
      <c r="H9">
        <v>22000</v>
      </c>
      <c r="I9" s="8">
        <v>165000</v>
      </c>
      <c r="J9" s="8">
        <f t="shared" si="0"/>
        <v>14000</v>
      </c>
      <c r="K9" s="8">
        <f t="shared" si="1"/>
        <v>67000</v>
      </c>
      <c r="L9" s="2">
        <f t="shared" si="2"/>
        <v>150000</v>
      </c>
      <c r="M9" s="2">
        <f>I9/L9*100</f>
        <v>110.00000000000001</v>
      </c>
      <c r="N9" s="5">
        <f t="shared" si="3"/>
        <v>0.40606060606060607</v>
      </c>
    </row>
    <row r="10" spans="1:19">
      <c r="A10">
        <v>1007</v>
      </c>
      <c r="B10" s="1">
        <v>46241</v>
      </c>
      <c r="C10" s="1" t="str">
        <f>TEXT(B10,"mmmm")</f>
        <v>August</v>
      </c>
      <c r="D10" t="s">
        <v>22</v>
      </c>
      <c r="E10" t="s">
        <v>25</v>
      </c>
      <c r="F10" t="s">
        <v>21</v>
      </c>
      <c r="G10">
        <v>6</v>
      </c>
      <c r="H10">
        <v>18000</v>
      </c>
      <c r="I10" s="8">
        <v>165000</v>
      </c>
      <c r="J10" s="8">
        <f t="shared" si="0"/>
        <v>25000</v>
      </c>
      <c r="K10" s="8">
        <f t="shared" si="1"/>
        <v>15000</v>
      </c>
      <c r="L10" s="2">
        <f t="shared" si="2"/>
        <v>100000</v>
      </c>
      <c r="M10" s="2">
        <f>I10/L10*100</f>
        <v>165</v>
      </c>
      <c r="N10" s="5">
        <f t="shared" si="3"/>
        <v>9.0909090909090912E-2</v>
      </c>
      <c r="P10" s="4" t="s">
        <v>4</v>
      </c>
      <c r="Q10" t="s">
        <v>13</v>
      </c>
      <c r="R10" t="s">
        <v>62</v>
      </c>
      <c r="S10" t="s">
        <v>63</v>
      </c>
    </row>
    <row r="11" spans="1:19">
      <c r="A11">
        <v>1008</v>
      </c>
      <c r="B11" s="1">
        <v>46242</v>
      </c>
      <c r="C11" s="1" t="str">
        <f>TEXT(B11,"mmmm")</f>
        <v>August</v>
      </c>
      <c r="D11" t="s">
        <v>18</v>
      </c>
      <c r="E11" t="s">
        <v>23</v>
      </c>
      <c r="F11" t="s">
        <v>26</v>
      </c>
      <c r="G11">
        <v>10</v>
      </c>
      <c r="H11">
        <v>2500</v>
      </c>
      <c r="I11" s="8">
        <v>165000</v>
      </c>
      <c r="J11" s="8">
        <f t="shared" si="0"/>
        <v>2000</v>
      </c>
      <c r="K11" s="8">
        <f t="shared" si="1"/>
        <v>145000</v>
      </c>
      <c r="L11" s="2">
        <f t="shared" si="2"/>
        <v>30000</v>
      </c>
      <c r="M11" s="2">
        <f>I11/L11*100</f>
        <v>550</v>
      </c>
      <c r="N11" s="5">
        <f t="shared" si="3"/>
        <v>0.87878787878787878</v>
      </c>
      <c r="P11" t="s">
        <v>18</v>
      </c>
      <c r="Q11" s="8">
        <v>1980000</v>
      </c>
      <c r="R11" s="8">
        <v>1684000</v>
      </c>
      <c r="S11" s="5">
        <v>0.85050505050505054</v>
      </c>
    </row>
    <row r="12" spans="1:19">
      <c r="A12">
        <v>1009</v>
      </c>
      <c r="B12" s="1">
        <v>46243</v>
      </c>
      <c r="C12" s="1" t="str">
        <f>TEXT(B12,"mmmm")</f>
        <v>August</v>
      </c>
      <c r="D12" t="s">
        <v>15</v>
      </c>
      <c r="E12" t="s">
        <v>23</v>
      </c>
      <c r="F12" t="s">
        <v>24</v>
      </c>
      <c r="G12">
        <v>4</v>
      </c>
      <c r="H12">
        <v>55000</v>
      </c>
      <c r="I12" s="8">
        <v>165000</v>
      </c>
      <c r="J12" s="8">
        <f t="shared" si="0"/>
        <v>42000</v>
      </c>
      <c r="K12" s="8">
        <f t="shared" si="1"/>
        <v>-3000</v>
      </c>
      <c r="L12" s="2">
        <f t="shared" si="2"/>
        <v>200000</v>
      </c>
      <c r="M12" s="2">
        <f>I12/L12*100</f>
        <v>82.5</v>
      </c>
      <c r="N12" s="5">
        <f t="shared" si="3"/>
        <v>-1.8181818181818181E-2</v>
      </c>
      <c r="P12" t="s">
        <v>15</v>
      </c>
      <c r="Q12" s="8">
        <v>2145000</v>
      </c>
      <c r="R12" s="8">
        <v>381000</v>
      </c>
      <c r="S12" s="5">
        <v>0.17762237762237762</v>
      </c>
    </row>
    <row r="13" spans="1:19">
      <c r="A13">
        <v>1010</v>
      </c>
      <c r="B13" s="1">
        <v>46244</v>
      </c>
      <c r="C13" s="1" t="str">
        <f>TEXT(B13,"mmmm")</f>
        <v>August</v>
      </c>
      <c r="D13" t="s">
        <v>19</v>
      </c>
      <c r="E13" t="s">
        <v>25</v>
      </c>
      <c r="F13" t="s">
        <v>17</v>
      </c>
      <c r="G13">
        <v>3</v>
      </c>
      <c r="H13">
        <v>22000</v>
      </c>
      <c r="I13" s="8">
        <v>165000</v>
      </c>
      <c r="J13" s="8">
        <f t="shared" si="0"/>
        <v>14000</v>
      </c>
      <c r="K13" s="8">
        <f t="shared" si="1"/>
        <v>123000</v>
      </c>
      <c r="L13" s="2">
        <f t="shared" si="2"/>
        <v>150000</v>
      </c>
      <c r="M13" s="2">
        <f>I13/L13*100</f>
        <v>110.00000000000001</v>
      </c>
      <c r="N13" s="5">
        <f t="shared" si="3"/>
        <v>0.74545454545454548</v>
      </c>
      <c r="P13" t="s">
        <v>19</v>
      </c>
      <c r="Q13" s="8">
        <v>2145000</v>
      </c>
      <c r="R13" s="8">
        <v>1039000</v>
      </c>
      <c r="S13" s="5">
        <v>0.48438228438228442</v>
      </c>
    </row>
    <row r="14" spans="1:19">
      <c r="A14">
        <v>1011</v>
      </c>
      <c r="B14" s="1">
        <v>46245</v>
      </c>
      <c r="C14" s="1" t="str">
        <f>TEXT(B14,"mmmm")</f>
        <v>August</v>
      </c>
      <c r="D14" t="s">
        <v>22</v>
      </c>
      <c r="E14" t="s">
        <v>16</v>
      </c>
      <c r="F14" t="s">
        <v>26</v>
      </c>
      <c r="G14">
        <v>5</v>
      </c>
      <c r="H14">
        <v>18000</v>
      </c>
      <c r="I14" s="8">
        <v>165000</v>
      </c>
      <c r="J14" s="8">
        <f t="shared" si="0"/>
        <v>25000</v>
      </c>
      <c r="K14" s="8">
        <f t="shared" si="1"/>
        <v>40000</v>
      </c>
      <c r="L14" s="2">
        <f t="shared" si="2"/>
        <v>100000</v>
      </c>
      <c r="M14" s="2">
        <f>I14/L14*100</f>
        <v>165</v>
      </c>
      <c r="N14" s="5">
        <f t="shared" si="3"/>
        <v>0.24242424242424243</v>
      </c>
      <c r="P14" t="s">
        <v>22</v>
      </c>
      <c r="Q14" s="8">
        <v>1980000</v>
      </c>
      <c r="R14" s="8">
        <v>155000</v>
      </c>
      <c r="S14" s="5">
        <v>7.8282828282828301E-2</v>
      </c>
    </row>
    <row r="15" spans="1:19">
      <c r="A15">
        <v>1012</v>
      </c>
      <c r="B15" s="1">
        <v>46246</v>
      </c>
      <c r="C15" s="1" t="str">
        <f>TEXT(B15,"mmmm")</f>
        <v>August</v>
      </c>
      <c r="D15" t="s">
        <v>18</v>
      </c>
      <c r="E15" t="s">
        <v>20</v>
      </c>
      <c r="F15" t="s">
        <v>21</v>
      </c>
      <c r="G15">
        <v>12</v>
      </c>
      <c r="H15">
        <v>2500</v>
      </c>
      <c r="I15" s="8">
        <v>165000</v>
      </c>
      <c r="J15" s="8">
        <f t="shared" si="0"/>
        <v>2000</v>
      </c>
      <c r="K15" s="8">
        <f t="shared" si="1"/>
        <v>141000</v>
      </c>
      <c r="L15" s="2">
        <f t="shared" si="2"/>
        <v>30000</v>
      </c>
      <c r="M15" s="2">
        <f>I15/L15*100</f>
        <v>550</v>
      </c>
      <c r="N15" s="5">
        <f t="shared" si="3"/>
        <v>0.8545454545454545</v>
      </c>
      <c r="P15" t="s">
        <v>27</v>
      </c>
      <c r="Q15" s="8">
        <v>8250000</v>
      </c>
      <c r="R15" s="8">
        <v>3259000</v>
      </c>
      <c r="S15" s="5">
        <v>0.39503030303030295</v>
      </c>
    </row>
    <row r="16" spans="1:19">
      <c r="A16">
        <v>1013</v>
      </c>
      <c r="B16" s="1">
        <v>46247</v>
      </c>
      <c r="C16" s="1" t="str">
        <f>TEXT(B16,"mmmm")</f>
        <v>August</v>
      </c>
      <c r="D16" t="s">
        <v>15</v>
      </c>
      <c r="E16" t="s">
        <v>25</v>
      </c>
      <c r="F16" t="s">
        <v>21</v>
      </c>
      <c r="G16">
        <v>2</v>
      </c>
      <c r="H16">
        <v>55000</v>
      </c>
      <c r="I16" s="8">
        <v>165000</v>
      </c>
      <c r="J16" s="8">
        <f t="shared" si="0"/>
        <v>42000</v>
      </c>
      <c r="K16" s="8">
        <f t="shared" si="1"/>
        <v>81000</v>
      </c>
      <c r="L16" s="2">
        <f t="shared" si="2"/>
        <v>200000</v>
      </c>
      <c r="M16" s="2">
        <f>I16/L16*100</f>
        <v>82.5</v>
      </c>
      <c r="N16" s="5">
        <f t="shared" si="3"/>
        <v>0.49090909090909091</v>
      </c>
    </row>
    <row r="17" spans="1:18">
      <c r="A17">
        <v>1014</v>
      </c>
      <c r="B17" s="1">
        <v>46248</v>
      </c>
      <c r="C17" s="1" t="str">
        <f>TEXT(B17,"mmmm")</f>
        <v>August</v>
      </c>
      <c r="D17" t="s">
        <v>19</v>
      </c>
      <c r="E17" t="s">
        <v>23</v>
      </c>
      <c r="F17" t="s">
        <v>26</v>
      </c>
      <c r="G17">
        <v>6</v>
      </c>
      <c r="H17">
        <v>22000</v>
      </c>
      <c r="I17" s="8">
        <v>165000</v>
      </c>
      <c r="J17" s="8">
        <f t="shared" si="0"/>
        <v>14000</v>
      </c>
      <c r="K17" s="8">
        <f t="shared" si="1"/>
        <v>81000</v>
      </c>
      <c r="L17" s="2">
        <f t="shared" si="2"/>
        <v>150000</v>
      </c>
      <c r="M17" s="2">
        <f>I17/L17*100</f>
        <v>110.00000000000001</v>
      </c>
      <c r="N17" s="5">
        <f t="shared" si="3"/>
        <v>0.49090909090909091</v>
      </c>
      <c r="P17" s="4" t="s">
        <v>5</v>
      </c>
      <c r="Q17" t="s">
        <v>13</v>
      </c>
      <c r="R17" t="s">
        <v>62</v>
      </c>
    </row>
    <row r="18" spans="1:18">
      <c r="A18">
        <v>1015</v>
      </c>
      <c r="B18" s="1">
        <v>46249</v>
      </c>
      <c r="C18" s="1" t="str">
        <f>TEXT(B18,"mmmm")</f>
        <v>August</v>
      </c>
      <c r="D18" t="s">
        <v>22</v>
      </c>
      <c r="E18" t="s">
        <v>20</v>
      </c>
      <c r="F18" t="s">
        <v>17</v>
      </c>
      <c r="G18">
        <v>7</v>
      </c>
      <c r="H18">
        <v>18000</v>
      </c>
      <c r="I18" s="8">
        <v>165000</v>
      </c>
      <c r="J18" s="8">
        <f t="shared" si="0"/>
        <v>25000</v>
      </c>
      <c r="K18" s="8">
        <f t="shared" si="1"/>
        <v>-10000</v>
      </c>
      <c r="L18" s="2">
        <f t="shared" si="2"/>
        <v>100000</v>
      </c>
      <c r="M18" s="2">
        <f>I18/L18*100</f>
        <v>165</v>
      </c>
      <c r="N18" s="5">
        <f t="shared" si="3"/>
        <v>-6.0606060606060608E-2</v>
      </c>
      <c r="P18" t="s">
        <v>23</v>
      </c>
      <c r="Q18" s="8">
        <v>1980000</v>
      </c>
      <c r="R18" s="8">
        <v>633000</v>
      </c>
    </row>
    <row r="19" spans="1:18">
      <c r="A19">
        <v>1016</v>
      </c>
      <c r="B19" s="1">
        <v>46250</v>
      </c>
      <c r="C19" s="1" t="str">
        <f>TEXT(B19,"mmmm")</f>
        <v>August</v>
      </c>
      <c r="D19" t="s">
        <v>18</v>
      </c>
      <c r="E19" t="s">
        <v>16</v>
      </c>
      <c r="F19" t="s">
        <v>24</v>
      </c>
      <c r="G19">
        <v>9</v>
      </c>
      <c r="H19">
        <v>2500</v>
      </c>
      <c r="I19" s="8">
        <v>165000</v>
      </c>
      <c r="J19" s="8">
        <f t="shared" si="0"/>
        <v>2000</v>
      </c>
      <c r="K19" s="8">
        <f t="shared" si="1"/>
        <v>147000</v>
      </c>
      <c r="L19" s="2">
        <f t="shared" si="2"/>
        <v>30000</v>
      </c>
      <c r="M19" s="2">
        <f>I19/L19*100</f>
        <v>550</v>
      </c>
      <c r="N19" s="5">
        <f t="shared" si="3"/>
        <v>0.89090909090909087</v>
      </c>
      <c r="P19" t="s">
        <v>16</v>
      </c>
      <c r="Q19" s="8">
        <v>2145000</v>
      </c>
      <c r="R19" s="8">
        <v>665000</v>
      </c>
    </row>
    <row r="20" spans="1:18">
      <c r="A20">
        <v>1017</v>
      </c>
      <c r="B20" s="1">
        <v>46251</v>
      </c>
      <c r="C20" s="1" t="str">
        <f>TEXT(B20,"mmmm")</f>
        <v>August</v>
      </c>
      <c r="D20" t="s">
        <v>15</v>
      </c>
      <c r="E20" t="s">
        <v>16</v>
      </c>
      <c r="F20" t="s">
        <v>26</v>
      </c>
      <c r="G20">
        <v>5</v>
      </c>
      <c r="H20">
        <v>55000</v>
      </c>
      <c r="I20" s="8">
        <v>165000</v>
      </c>
      <c r="J20" s="8">
        <f t="shared" si="0"/>
        <v>42000</v>
      </c>
      <c r="K20" s="8">
        <f t="shared" si="1"/>
        <v>-45000</v>
      </c>
      <c r="L20" s="2">
        <f t="shared" si="2"/>
        <v>200000</v>
      </c>
      <c r="M20" s="2">
        <f>I20/L20*100</f>
        <v>82.5</v>
      </c>
      <c r="N20" s="5">
        <f t="shared" si="3"/>
        <v>-0.27272727272727271</v>
      </c>
      <c r="P20" t="s">
        <v>20</v>
      </c>
      <c r="Q20" s="8">
        <v>2145000</v>
      </c>
      <c r="R20" s="8">
        <v>1005000</v>
      </c>
    </row>
    <row r="21" spans="1:18">
      <c r="A21">
        <v>1018</v>
      </c>
      <c r="B21" s="1">
        <v>46252</v>
      </c>
      <c r="C21" s="1" t="str">
        <f>TEXT(B21,"mmmm")</f>
        <v>August</v>
      </c>
      <c r="D21" t="s">
        <v>19</v>
      </c>
      <c r="E21" t="s">
        <v>20</v>
      </c>
      <c r="F21" t="s">
        <v>24</v>
      </c>
      <c r="G21">
        <v>4</v>
      </c>
      <c r="H21">
        <v>22000</v>
      </c>
      <c r="I21" s="8">
        <v>165000</v>
      </c>
      <c r="J21" s="8">
        <f t="shared" si="0"/>
        <v>14000</v>
      </c>
      <c r="K21" s="8">
        <f t="shared" si="1"/>
        <v>109000</v>
      </c>
      <c r="L21" s="2">
        <f t="shared" si="2"/>
        <v>150000</v>
      </c>
      <c r="M21" s="2">
        <f>I21/L21*100</f>
        <v>110.00000000000001</v>
      </c>
      <c r="N21" s="5">
        <f t="shared" si="3"/>
        <v>0.66060606060606064</v>
      </c>
      <c r="P21" t="s">
        <v>25</v>
      </c>
      <c r="Q21" s="8">
        <v>1980000</v>
      </c>
      <c r="R21" s="8">
        <v>956000</v>
      </c>
    </row>
    <row r="22" spans="1:18">
      <c r="A22">
        <v>1019</v>
      </c>
      <c r="B22" s="1">
        <v>46253</v>
      </c>
      <c r="C22" s="1" t="str">
        <f>TEXT(B22,"mmmm")</f>
        <v>August</v>
      </c>
      <c r="D22" t="s">
        <v>22</v>
      </c>
      <c r="E22" t="s">
        <v>23</v>
      </c>
      <c r="F22" t="s">
        <v>17</v>
      </c>
      <c r="G22">
        <v>8</v>
      </c>
      <c r="H22">
        <v>18000</v>
      </c>
      <c r="I22" s="8">
        <v>165000</v>
      </c>
      <c r="J22" s="8">
        <f t="shared" si="0"/>
        <v>25000</v>
      </c>
      <c r="K22" s="8">
        <f t="shared" si="1"/>
        <v>-35000</v>
      </c>
      <c r="L22" s="2">
        <f t="shared" si="2"/>
        <v>100000</v>
      </c>
      <c r="M22" s="2">
        <f>I22/L22*100</f>
        <v>165</v>
      </c>
      <c r="N22" s="5">
        <f t="shared" si="3"/>
        <v>-0.21212121212121213</v>
      </c>
      <c r="P22" t="s">
        <v>27</v>
      </c>
      <c r="Q22" s="8">
        <v>8250000</v>
      </c>
      <c r="R22" s="8">
        <v>3259000</v>
      </c>
    </row>
    <row r="23" spans="1:18">
      <c r="A23">
        <v>1020</v>
      </c>
      <c r="B23" s="1">
        <v>46254</v>
      </c>
      <c r="C23" s="1" t="str">
        <f>TEXT(B23,"mmmm")</f>
        <v>August</v>
      </c>
      <c r="D23" t="s">
        <v>18</v>
      </c>
      <c r="E23" t="s">
        <v>25</v>
      </c>
      <c r="F23" t="s">
        <v>21</v>
      </c>
      <c r="G23">
        <v>15</v>
      </c>
      <c r="H23">
        <v>2500</v>
      </c>
      <c r="I23" s="8">
        <v>165000</v>
      </c>
      <c r="J23" s="8">
        <f t="shared" si="0"/>
        <v>2000</v>
      </c>
      <c r="K23" s="8">
        <f t="shared" si="1"/>
        <v>135000</v>
      </c>
      <c r="L23" s="2">
        <f t="shared" si="2"/>
        <v>30000</v>
      </c>
      <c r="M23" s="2">
        <f>I23/L23*100</f>
        <v>550</v>
      </c>
      <c r="N23" s="5">
        <f t="shared" si="3"/>
        <v>0.81818181818181823</v>
      </c>
    </row>
    <row r="24" spans="1:18">
      <c r="A24">
        <v>1021</v>
      </c>
      <c r="B24" s="1">
        <v>46255</v>
      </c>
      <c r="C24" s="1" t="str">
        <f>TEXT(B24,"mmmm")</f>
        <v>August</v>
      </c>
      <c r="D24" t="s">
        <v>15</v>
      </c>
      <c r="E24" t="s">
        <v>20</v>
      </c>
      <c r="F24" t="s">
        <v>24</v>
      </c>
      <c r="G24">
        <v>3</v>
      </c>
      <c r="H24">
        <v>55000</v>
      </c>
      <c r="I24" s="8">
        <v>165000</v>
      </c>
      <c r="J24" s="8">
        <f t="shared" si="0"/>
        <v>42000</v>
      </c>
      <c r="K24" s="8">
        <f t="shared" si="1"/>
        <v>39000</v>
      </c>
      <c r="L24" s="2">
        <f t="shared" si="2"/>
        <v>200000</v>
      </c>
      <c r="M24" s="2">
        <f>I24/L24*100</f>
        <v>82.5</v>
      </c>
      <c r="N24" s="5">
        <f t="shared" si="3"/>
        <v>0.23636363636363636</v>
      </c>
      <c r="P24" s="4" t="s">
        <v>6</v>
      </c>
      <c r="Q24" t="s">
        <v>13</v>
      </c>
      <c r="R24" t="s">
        <v>62</v>
      </c>
    </row>
    <row r="25" spans="1:18">
      <c r="A25">
        <v>1022</v>
      </c>
      <c r="B25" s="1">
        <v>46256</v>
      </c>
      <c r="C25" s="1" t="str">
        <f>TEXT(B25,"mmmm")</f>
        <v>August</v>
      </c>
      <c r="D25" t="s">
        <v>19</v>
      </c>
      <c r="E25" t="s">
        <v>16</v>
      </c>
      <c r="F25" t="s">
        <v>21</v>
      </c>
      <c r="G25">
        <v>8</v>
      </c>
      <c r="H25">
        <v>22000</v>
      </c>
      <c r="I25" s="8">
        <v>165000</v>
      </c>
      <c r="J25" s="8">
        <f t="shared" si="0"/>
        <v>14000</v>
      </c>
      <c r="K25" s="8">
        <f t="shared" si="1"/>
        <v>53000</v>
      </c>
      <c r="L25" s="2">
        <f t="shared" si="2"/>
        <v>150000</v>
      </c>
      <c r="M25" s="2">
        <f>I25/L25*100</f>
        <v>110.00000000000001</v>
      </c>
      <c r="N25" s="5">
        <f t="shared" si="3"/>
        <v>0.32121212121212123</v>
      </c>
      <c r="P25" t="s">
        <v>24</v>
      </c>
      <c r="Q25" s="8">
        <v>2145000</v>
      </c>
      <c r="R25" s="8">
        <v>778000</v>
      </c>
    </row>
    <row r="26" spans="1:18">
      <c r="A26">
        <v>1023</v>
      </c>
      <c r="B26" s="1">
        <v>46257</v>
      </c>
      <c r="C26" s="1" t="str">
        <f>TEXT(B26,"mmmm")</f>
        <v>August</v>
      </c>
      <c r="D26" t="s">
        <v>22</v>
      </c>
      <c r="E26" t="s">
        <v>25</v>
      </c>
      <c r="F26" t="s">
        <v>26</v>
      </c>
      <c r="G26">
        <v>4</v>
      </c>
      <c r="H26">
        <v>18000</v>
      </c>
      <c r="I26" s="8">
        <v>165000</v>
      </c>
      <c r="J26" s="8">
        <f t="shared" si="0"/>
        <v>25000</v>
      </c>
      <c r="K26" s="8">
        <f t="shared" si="1"/>
        <v>65000</v>
      </c>
      <c r="L26" s="2">
        <f t="shared" si="2"/>
        <v>100000</v>
      </c>
      <c r="M26" s="2">
        <f>I26/L26*100</f>
        <v>165</v>
      </c>
      <c r="N26" s="5">
        <f t="shared" si="3"/>
        <v>0.39393939393939392</v>
      </c>
      <c r="P26" t="s">
        <v>21</v>
      </c>
      <c r="Q26" s="8">
        <v>1980000</v>
      </c>
      <c r="R26" s="8">
        <v>1075000</v>
      </c>
    </row>
    <row r="27" spans="1:18">
      <c r="A27">
        <v>1024</v>
      </c>
      <c r="B27" s="1">
        <v>46258</v>
      </c>
      <c r="C27" s="1" t="str">
        <f>TEXT(B27,"mmmm")</f>
        <v>August</v>
      </c>
      <c r="D27" t="s">
        <v>18</v>
      </c>
      <c r="E27" t="s">
        <v>23</v>
      </c>
      <c r="F27" t="s">
        <v>17</v>
      </c>
      <c r="G27">
        <v>11</v>
      </c>
      <c r="H27">
        <v>2500</v>
      </c>
      <c r="I27" s="8">
        <v>165000</v>
      </c>
      <c r="J27" s="8">
        <f t="shared" si="0"/>
        <v>2000</v>
      </c>
      <c r="K27" s="8">
        <f t="shared" si="1"/>
        <v>143000</v>
      </c>
      <c r="L27" s="2">
        <f t="shared" si="2"/>
        <v>30000</v>
      </c>
      <c r="M27" s="2">
        <f>I27/L27*100</f>
        <v>550</v>
      </c>
      <c r="N27" s="5">
        <f t="shared" si="3"/>
        <v>0.8666666666666667</v>
      </c>
      <c r="P27" t="s">
        <v>17</v>
      </c>
      <c r="Q27" s="8">
        <v>2145000</v>
      </c>
      <c r="R27" s="8">
        <v>632000</v>
      </c>
    </row>
    <row r="28" spans="1:18">
      <c r="A28">
        <v>1025</v>
      </c>
      <c r="B28" s="1">
        <v>46259</v>
      </c>
      <c r="C28" s="1" t="str">
        <f>TEXT(B28,"mmmm")</f>
        <v>August</v>
      </c>
      <c r="D28" t="s">
        <v>15</v>
      </c>
      <c r="E28" t="s">
        <v>23</v>
      </c>
      <c r="F28" t="s">
        <v>21</v>
      </c>
      <c r="G28">
        <v>2</v>
      </c>
      <c r="H28">
        <v>55000</v>
      </c>
      <c r="I28" s="8">
        <v>165000</v>
      </c>
      <c r="J28" s="8">
        <f t="shared" si="0"/>
        <v>42000</v>
      </c>
      <c r="K28" s="8">
        <f t="shared" si="1"/>
        <v>81000</v>
      </c>
      <c r="L28" s="2">
        <f t="shared" si="2"/>
        <v>200000</v>
      </c>
      <c r="M28" s="2">
        <f>I28/L28*100</f>
        <v>82.5</v>
      </c>
      <c r="N28" s="5">
        <f t="shared" si="3"/>
        <v>0.49090909090909091</v>
      </c>
      <c r="P28" t="s">
        <v>26</v>
      </c>
      <c r="Q28" s="8">
        <v>1980000</v>
      </c>
      <c r="R28" s="8">
        <v>774000</v>
      </c>
    </row>
    <row r="29" spans="1:18">
      <c r="A29">
        <v>1026</v>
      </c>
      <c r="B29" s="1">
        <v>46260</v>
      </c>
      <c r="C29" s="1" t="str">
        <f>TEXT(B29,"mmmm")</f>
        <v>August</v>
      </c>
      <c r="D29" t="s">
        <v>19</v>
      </c>
      <c r="E29" t="s">
        <v>25</v>
      </c>
      <c r="F29" t="s">
        <v>24</v>
      </c>
      <c r="G29">
        <v>5</v>
      </c>
      <c r="H29">
        <v>22000</v>
      </c>
      <c r="I29" s="8">
        <v>165000</v>
      </c>
      <c r="J29" s="8">
        <f t="shared" si="0"/>
        <v>14000</v>
      </c>
      <c r="K29" s="8">
        <f t="shared" si="1"/>
        <v>95000</v>
      </c>
      <c r="L29" s="2">
        <f t="shared" si="2"/>
        <v>150000</v>
      </c>
      <c r="M29" s="2">
        <f>I29/L29*100</f>
        <v>110.00000000000001</v>
      </c>
      <c r="N29" s="5">
        <f t="shared" si="3"/>
        <v>0.5757575757575758</v>
      </c>
      <c r="P29" t="s">
        <v>27</v>
      </c>
      <c r="Q29" s="8">
        <v>8250000</v>
      </c>
      <c r="R29" s="8">
        <v>3259000</v>
      </c>
    </row>
    <row r="30" spans="1:18">
      <c r="A30">
        <v>1027</v>
      </c>
      <c r="B30" s="1">
        <v>46261</v>
      </c>
      <c r="C30" s="1" t="str">
        <f>TEXT(B30,"mmmm")</f>
        <v>August</v>
      </c>
      <c r="D30" t="s">
        <v>22</v>
      </c>
      <c r="E30" t="s">
        <v>16</v>
      </c>
      <c r="F30" t="s">
        <v>17</v>
      </c>
      <c r="G30">
        <v>6</v>
      </c>
      <c r="H30">
        <v>18000</v>
      </c>
      <c r="I30" s="8">
        <v>165000</v>
      </c>
      <c r="J30" s="8">
        <f t="shared" si="0"/>
        <v>25000</v>
      </c>
      <c r="K30" s="8">
        <f t="shared" si="1"/>
        <v>15000</v>
      </c>
      <c r="L30" s="2">
        <f t="shared" si="2"/>
        <v>100000</v>
      </c>
      <c r="M30" s="2">
        <f>I30/L30*100</f>
        <v>165</v>
      </c>
      <c r="N30" s="5">
        <f t="shared" si="3"/>
        <v>9.0909090909090912E-2</v>
      </c>
    </row>
    <row r="31" spans="1:18">
      <c r="A31">
        <v>1028</v>
      </c>
      <c r="B31" s="1">
        <v>46262</v>
      </c>
      <c r="C31" s="1" t="str">
        <f>TEXT(B31,"mmmm")</f>
        <v>August</v>
      </c>
      <c r="D31" t="s">
        <v>18</v>
      </c>
      <c r="E31" t="s">
        <v>20</v>
      </c>
      <c r="F31" t="s">
        <v>26</v>
      </c>
      <c r="G31">
        <v>14</v>
      </c>
      <c r="H31">
        <v>2500</v>
      </c>
      <c r="I31" s="8">
        <v>165000</v>
      </c>
      <c r="J31" s="8">
        <f t="shared" si="0"/>
        <v>2000</v>
      </c>
      <c r="K31" s="8">
        <f t="shared" si="1"/>
        <v>137000</v>
      </c>
      <c r="L31" s="2">
        <f t="shared" si="2"/>
        <v>30000</v>
      </c>
      <c r="M31" s="2">
        <f>I31/L31*100</f>
        <v>550</v>
      </c>
      <c r="N31" s="5">
        <f t="shared" si="3"/>
        <v>0.83030303030303032</v>
      </c>
    </row>
    <row r="32" spans="1:18">
      <c r="A32">
        <v>1029</v>
      </c>
      <c r="B32" s="1">
        <v>46263</v>
      </c>
      <c r="C32" s="1" t="str">
        <f>TEXT(B32,"mmmm")</f>
        <v>August</v>
      </c>
      <c r="D32" t="s">
        <v>15</v>
      </c>
      <c r="E32" t="s">
        <v>25</v>
      </c>
      <c r="F32" t="s">
        <v>26</v>
      </c>
      <c r="G32">
        <v>4</v>
      </c>
      <c r="H32">
        <v>55000</v>
      </c>
      <c r="I32" s="8">
        <v>165000</v>
      </c>
      <c r="J32" s="8">
        <f t="shared" si="0"/>
        <v>42000</v>
      </c>
      <c r="K32" s="8">
        <f t="shared" si="1"/>
        <v>-3000</v>
      </c>
      <c r="L32" s="2">
        <f t="shared" si="2"/>
        <v>200000</v>
      </c>
      <c r="M32" s="2">
        <f>I32/L32*100</f>
        <v>82.5</v>
      </c>
      <c r="N32" s="5">
        <f t="shared" si="3"/>
        <v>-1.8181818181818181E-2</v>
      </c>
    </row>
    <row r="33" spans="1:14">
      <c r="A33">
        <v>1030</v>
      </c>
      <c r="B33" s="1">
        <v>46264</v>
      </c>
      <c r="C33" s="1" t="str">
        <f>TEXT(B33,"mmmm")</f>
        <v>August</v>
      </c>
      <c r="D33" t="s">
        <v>19</v>
      </c>
      <c r="E33" t="s">
        <v>23</v>
      </c>
      <c r="F33" t="s">
        <v>17</v>
      </c>
      <c r="G33">
        <v>7</v>
      </c>
      <c r="H33">
        <v>22000</v>
      </c>
      <c r="I33" s="8">
        <v>165000</v>
      </c>
      <c r="J33" s="8">
        <f t="shared" si="0"/>
        <v>14000</v>
      </c>
      <c r="K33" s="8">
        <f t="shared" si="1"/>
        <v>67000</v>
      </c>
      <c r="L33" s="2">
        <f t="shared" si="2"/>
        <v>150000</v>
      </c>
      <c r="M33" s="2">
        <f>I33/L33*100</f>
        <v>110.00000000000001</v>
      </c>
      <c r="N33" s="5">
        <f t="shared" si="3"/>
        <v>0.40606060606060607</v>
      </c>
    </row>
    <row r="34" spans="1:14">
      <c r="A34">
        <v>1031</v>
      </c>
      <c r="B34" s="1">
        <v>46265</v>
      </c>
      <c r="C34" s="1" t="str">
        <f>TEXT(B34,"mmmm")</f>
        <v>August</v>
      </c>
      <c r="D34" t="s">
        <v>22</v>
      </c>
      <c r="E34" t="s">
        <v>20</v>
      </c>
      <c r="F34" t="s">
        <v>21</v>
      </c>
      <c r="G34">
        <v>5</v>
      </c>
      <c r="H34">
        <v>18000</v>
      </c>
      <c r="I34" s="8">
        <v>165000</v>
      </c>
      <c r="J34" s="8">
        <f t="shared" si="0"/>
        <v>25000</v>
      </c>
      <c r="K34" s="8">
        <f t="shared" si="1"/>
        <v>40000</v>
      </c>
      <c r="L34" s="2">
        <f t="shared" si="2"/>
        <v>100000</v>
      </c>
      <c r="M34" s="2">
        <f>I34/L34*100</f>
        <v>165</v>
      </c>
      <c r="N34" s="5">
        <f t="shared" si="3"/>
        <v>0.24242424242424243</v>
      </c>
    </row>
    <row r="35" spans="1:14">
      <c r="A35">
        <v>1032</v>
      </c>
      <c r="B35" s="1">
        <v>46266</v>
      </c>
      <c r="C35" s="1" t="str">
        <f>TEXT(B35,"mmmm")</f>
        <v>September</v>
      </c>
      <c r="D35" t="s">
        <v>18</v>
      </c>
      <c r="E35" t="s">
        <v>16</v>
      </c>
      <c r="F35" t="s">
        <v>24</v>
      </c>
      <c r="G35">
        <v>13</v>
      </c>
      <c r="H35">
        <v>2500</v>
      </c>
      <c r="I35" s="8">
        <v>165000</v>
      </c>
      <c r="J35" s="8">
        <f t="shared" si="0"/>
        <v>2000</v>
      </c>
      <c r="K35" s="8">
        <f t="shared" si="1"/>
        <v>139000</v>
      </c>
      <c r="L35" s="2">
        <f t="shared" si="2"/>
        <v>30000</v>
      </c>
      <c r="M35" s="2">
        <f>I35/L35*100</f>
        <v>550</v>
      </c>
      <c r="N35" s="5">
        <f t="shared" si="3"/>
        <v>0.84242424242424241</v>
      </c>
    </row>
    <row r="36" spans="1:14">
      <c r="A36">
        <v>1033</v>
      </c>
      <c r="B36" s="1">
        <v>46267</v>
      </c>
      <c r="C36" s="1" t="str">
        <f>TEXT(B36,"mmmm")</f>
        <v>September</v>
      </c>
      <c r="D36" t="s">
        <v>15</v>
      </c>
      <c r="E36" t="s">
        <v>16</v>
      </c>
      <c r="F36" t="s">
        <v>21</v>
      </c>
      <c r="G36">
        <v>3</v>
      </c>
      <c r="H36">
        <v>55000</v>
      </c>
      <c r="I36" s="8">
        <v>165000</v>
      </c>
      <c r="J36" s="8">
        <f t="shared" si="0"/>
        <v>42000</v>
      </c>
      <c r="K36" s="8">
        <f t="shared" si="1"/>
        <v>39000</v>
      </c>
      <c r="L36" s="2">
        <f t="shared" si="2"/>
        <v>200000</v>
      </c>
      <c r="M36" s="2">
        <f>I36/L36*100</f>
        <v>82.5</v>
      </c>
      <c r="N36" s="5">
        <f t="shared" si="3"/>
        <v>0.23636363636363636</v>
      </c>
    </row>
    <row r="37" spans="1:14">
      <c r="A37">
        <v>1034</v>
      </c>
      <c r="B37" s="1">
        <v>46268</v>
      </c>
      <c r="C37" s="1" t="str">
        <f>TEXT(B37,"mmmm")</f>
        <v>September</v>
      </c>
      <c r="D37" t="s">
        <v>19</v>
      </c>
      <c r="E37" t="s">
        <v>20</v>
      </c>
      <c r="F37" t="s">
        <v>26</v>
      </c>
      <c r="G37">
        <v>6</v>
      </c>
      <c r="H37">
        <v>22000</v>
      </c>
      <c r="I37" s="8">
        <v>165000</v>
      </c>
      <c r="J37" s="8">
        <f t="shared" si="0"/>
        <v>14000</v>
      </c>
      <c r="K37" s="8">
        <f t="shared" si="1"/>
        <v>81000</v>
      </c>
      <c r="L37" s="2">
        <f t="shared" si="2"/>
        <v>150000</v>
      </c>
      <c r="M37" s="2">
        <f>I37/L37*100</f>
        <v>110.00000000000001</v>
      </c>
      <c r="N37" s="5">
        <f t="shared" si="3"/>
        <v>0.49090909090909091</v>
      </c>
    </row>
    <row r="38" spans="1:14">
      <c r="A38">
        <v>1035</v>
      </c>
      <c r="B38" s="1">
        <v>46269</v>
      </c>
      <c r="C38" s="1" t="str">
        <f>TEXT(B38,"mmmm")</f>
        <v>September</v>
      </c>
      <c r="D38" t="s">
        <v>22</v>
      </c>
      <c r="E38" t="s">
        <v>23</v>
      </c>
      <c r="F38" t="s">
        <v>24</v>
      </c>
      <c r="G38">
        <v>9</v>
      </c>
      <c r="H38">
        <v>18000</v>
      </c>
      <c r="I38" s="8">
        <v>165000</v>
      </c>
      <c r="J38" s="8">
        <f t="shared" si="0"/>
        <v>25000</v>
      </c>
      <c r="K38" s="8">
        <f t="shared" si="1"/>
        <v>-60000</v>
      </c>
      <c r="L38" s="2">
        <f t="shared" si="2"/>
        <v>100000</v>
      </c>
      <c r="M38" s="2">
        <f>I38/L38*100</f>
        <v>165</v>
      </c>
      <c r="N38" s="5">
        <f t="shared" si="3"/>
        <v>-0.36363636363636365</v>
      </c>
    </row>
    <row r="39" spans="1:14">
      <c r="A39">
        <v>1036</v>
      </c>
      <c r="B39" s="1">
        <v>46270</v>
      </c>
      <c r="C39" s="1" t="str">
        <f>TEXT(B39,"mmmm")</f>
        <v>September</v>
      </c>
      <c r="D39" t="s">
        <v>18</v>
      </c>
      <c r="E39" t="s">
        <v>25</v>
      </c>
      <c r="F39" t="s">
        <v>17</v>
      </c>
      <c r="G39">
        <v>16</v>
      </c>
      <c r="H39">
        <v>2500</v>
      </c>
      <c r="I39" s="8">
        <v>165000</v>
      </c>
      <c r="J39" s="8">
        <f t="shared" si="0"/>
        <v>2000</v>
      </c>
      <c r="K39" s="8">
        <f t="shared" si="1"/>
        <v>133000</v>
      </c>
      <c r="L39" s="2">
        <f t="shared" si="2"/>
        <v>30000</v>
      </c>
      <c r="M39" s="2">
        <f>I39/L39*100</f>
        <v>550</v>
      </c>
      <c r="N39" s="5">
        <f t="shared" si="3"/>
        <v>0.80606060606060603</v>
      </c>
    </row>
    <row r="40" spans="1:14">
      <c r="A40">
        <v>1037</v>
      </c>
      <c r="B40" s="1">
        <v>46271</v>
      </c>
      <c r="C40" s="1" t="str">
        <f>TEXT(B40,"mmmm")</f>
        <v>September</v>
      </c>
      <c r="D40" t="s">
        <v>15</v>
      </c>
      <c r="E40" t="s">
        <v>20</v>
      </c>
      <c r="F40" t="s">
        <v>26</v>
      </c>
      <c r="G40">
        <v>2</v>
      </c>
      <c r="H40">
        <v>55000</v>
      </c>
      <c r="I40" s="8">
        <v>165000</v>
      </c>
      <c r="J40" s="8">
        <f t="shared" si="0"/>
        <v>42000</v>
      </c>
      <c r="K40" s="8">
        <f t="shared" si="1"/>
        <v>81000</v>
      </c>
      <c r="L40" s="2">
        <f t="shared" si="2"/>
        <v>200000</v>
      </c>
      <c r="M40" s="2">
        <f>I40/L40*100</f>
        <v>82.5</v>
      </c>
      <c r="N40" s="5">
        <f t="shared" si="3"/>
        <v>0.49090909090909091</v>
      </c>
    </row>
    <row r="41" spans="1:14">
      <c r="A41">
        <v>1038</v>
      </c>
      <c r="B41" s="1">
        <v>46272</v>
      </c>
      <c r="C41" s="1" t="str">
        <f>TEXT(B41,"mmmm")</f>
        <v>September</v>
      </c>
      <c r="D41" t="s">
        <v>19</v>
      </c>
      <c r="E41" t="s">
        <v>16</v>
      </c>
      <c r="F41" t="s">
        <v>17</v>
      </c>
      <c r="G41">
        <v>9</v>
      </c>
      <c r="H41">
        <v>22000</v>
      </c>
      <c r="I41" s="8">
        <v>165000</v>
      </c>
      <c r="J41" s="8">
        <f t="shared" si="0"/>
        <v>14000</v>
      </c>
      <c r="K41" s="8">
        <f t="shared" si="1"/>
        <v>39000</v>
      </c>
      <c r="L41" s="2">
        <f t="shared" si="2"/>
        <v>150000</v>
      </c>
      <c r="M41" s="2">
        <f>I41/L41*100</f>
        <v>110.00000000000001</v>
      </c>
      <c r="N41" s="5">
        <f t="shared" si="3"/>
        <v>0.23636363636363636</v>
      </c>
    </row>
    <row r="42" spans="1:14">
      <c r="A42">
        <v>1039</v>
      </c>
      <c r="B42" s="1">
        <v>46273</v>
      </c>
      <c r="C42" s="1" t="str">
        <f>TEXT(B42,"mmmm")</f>
        <v>September</v>
      </c>
      <c r="D42" t="s">
        <v>22</v>
      </c>
      <c r="E42" t="s">
        <v>25</v>
      </c>
      <c r="F42" t="s">
        <v>24</v>
      </c>
      <c r="G42">
        <v>6</v>
      </c>
      <c r="H42">
        <v>18000</v>
      </c>
      <c r="I42" s="8">
        <v>165000</v>
      </c>
      <c r="J42" s="8">
        <f t="shared" si="0"/>
        <v>25000</v>
      </c>
      <c r="K42" s="8">
        <f t="shared" si="1"/>
        <v>15000</v>
      </c>
      <c r="L42" s="2">
        <f t="shared" si="2"/>
        <v>100000</v>
      </c>
      <c r="M42" s="2">
        <f>I42/L42*100</f>
        <v>165</v>
      </c>
      <c r="N42" s="5">
        <f t="shared" si="3"/>
        <v>9.0909090909090912E-2</v>
      </c>
    </row>
    <row r="43" spans="1:14">
      <c r="A43">
        <v>1040</v>
      </c>
      <c r="B43" s="1">
        <v>46274</v>
      </c>
      <c r="C43" s="1" t="str">
        <f>TEXT(B43,"mmmm")</f>
        <v>September</v>
      </c>
      <c r="D43" t="s">
        <v>18</v>
      </c>
      <c r="E43" t="s">
        <v>23</v>
      </c>
      <c r="F43" t="s">
        <v>21</v>
      </c>
      <c r="G43">
        <v>12</v>
      </c>
      <c r="H43">
        <v>2500</v>
      </c>
      <c r="I43" s="8">
        <v>165000</v>
      </c>
      <c r="J43" s="8">
        <f t="shared" si="0"/>
        <v>2000</v>
      </c>
      <c r="K43" s="8">
        <f t="shared" si="1"/>
        <v>141000</v>
      </c>
      <c r="L43" s="2">
        <f t="shared" si="2"/>
        <v>30000</v>
      </c>
      <c r="M43" s="2">
        <f>I43/L43*100</f>
        <v>550</v>
      </c>
      <c r="N43" s="5">
        <f t="shared" si="3"/>
        <v>0.8545454545454545</v>
      </c>
    </row>
    <row r="44" spans="1:14">
      <c r="A44">
        <v>1041</v>
      </c>
      <c r="B44" s="1">
        <v>46275</v>
      </c>
      <c r="C44" s="1" t="str">
        <f>TEXT(B44,"mmmm")</f>
        <v>September</v>
      </c>
      <c r="D44" t="s">
        <v>15</v>
      </c>
      <c r="E44" t="s">
        <v>23</v>
      </c>
      <c r="F44" t="s">
        <v>17</v>
      </c>
      <c r="G44">
        <v>5</v>
      </c>
      <c r="H44">
        <v>55000</v>
      </c>
      <c r="I44" s="8">
        <v>165000</v>
      </c>
      <c r="J44" s="8">
        <f t="shared" si="0"/>
        <v>42000</v>
      </c>
      <c r="K44" s="8">
        <f t="shared" si="1"/>
        <v>-45000</v>
      </c>
      <c r="L44" s="2">
        <f t="shared" si="2"/>
        <v>200000</v>
      </c>
      <c r="M44" s="2">
        <f>I44/L44*100</f>
        <v>82.5</v>
      </c>
      <c r="N44" s="5">
        <f t="shared" si="3"/>
        <v>-0.27272727272727271</v>
      </c>
    </row>
    <row r="45" spans="1:14">
      <c r="A45">
        <v>1042</v>
      </c>
      <c r="B45" s="1">
        <v>46276</v>
      </c>
      <c r="C45" s="1" t="str">
        <f>TEXT(B45,"mmmm")</f>
        <v>September</v>
      </c>
      <c r="D45" t="s">
        <v>19</v>
      </c>
      <c r="E45" t="s">
        <v>25</v>
      </c>
      <c r="F45" t="s">
        <v>21</v>
      </c>
      <c r="G45">
        <v>4</v>
      </c>
      <c r="H45">
        <v>22000</v>
      </c>
      <c r="I45" s="8">
        <v>165000</v>
      </c>
      <c r="J45" s="8">
        <f t="shared" si="0"/>
        <v>14000</v>
      </c>
      <c r="K45" s="8">
        <f t="shared" si="1"/>
        <v>109000</v>
      </c>
      <c r="L45" s="2">
        <f t="shared" si="2"/>
        <v>150000</v>
      </c>
      <c r="M45" s="2">
        <f>I45/L45*100</f>
        <v>110.00000000000001</v>
      </c>
      <c r="N45" s="5">
        <f t="shared" si="3"/>
        <v>0.66060606060606064</v>
      </c>
    </row>
    <row r="46" spans="1:14">
      <c r="A46">
        <v>1043</v>
      </c>
      <c r="B46" s="1">
        <v>46277</v>
      </c>
      <c r="C46" s="1" t="str">
        <f>TEXT(B46,"mmmm")</f>
        <v>September</v>
      </c>
      <c r="D46" t="s">
        <v>22</v>
      </c>
      <c r="E46" t="s">
        <v>16</v>
      </c>
      <c r="F46" t="s">
        <v>26</v>
      </c>
      <c r="G46">
        <v>7</v>
      </c>
      <c r="H46">
        <v>18000</v>
      </c>
      <c r="I46" s="8">
        <v>165000</v>
      </c>
      <c r="J46" s="8">
        <f t="shared" si="0"/>
        <v>25000</v>
      </c>
      <c r="K46" s="8">
        <f t="shared" si="1"/>
        <v>-10000</v>
      </c>
      <c r="L46" s="2">
        <f t="shared" si="2"/>
        <v>100000</v>
      </c>
      <c r="M46" s="2">
        <f>I46/L46*100</f>
        <v>165</v>
      </c>
      <c r="N46" s="5">
        <f t="shared" si="3"/>
        <v>-6.0606060606060608E-2</v>
      </c>
    </row>
    <row r="47" spans="1:14">
      <c r="A47">
        <v>1044</v>
      </c>
      <c r="B47" s="1">
        <v>46278</v>
      </c>
      <c r="C47" s="1" t="str">
        <f>TEXT(B47,"mmmm")</f>
        <v>September</v>
      </c>
      <c r="D47" t="s">
        <v>18</v>
      </c>
      <c r="E47" t="s">
        <v>20</v>
      </c>
      <c r="F47" t="s">
        <v>24</v>
      </c>
      <c r="G47">
        <v>18</v>
      </c>
      <c r="H47">
        <v>2500</v>
      </c>
      <c r="I47" s="8">
        <v>165000</v>
      </c>
      <c r="J47" s="8">
        <f t="shared" si="0"/>
        <v>2000</v>
      </c>
      <c r="K47" s="8">
        <f t="shared" si="1"/>
        <v>129000</v>
      </c>
      <c r="L47" s="2">
        <f t="shared" si="2"/>
        <v>30000</v>
      </c>
      <c r="M47" s="2">
        <f>I47/L47*100</f>
        <v>550</v>
      </c>
      <c r="N47" s="5">
        <f t="shared" si="3"/>
        <v>0.78181818181818186</v>
      </c>
    </row>
    <row r="48" spans="1:14">
      <c r="A48">
        <v>1045</v>
      </c>
      <c r="B48" s="1">
        <v>46279</v>
      </c>
      <c r="C48" s="1" t="str">
        <f>TEXT(B48,"mmmm")</f>
        <v>September</v>
      </c>
      <c r="D48" t="s">
        <v>15</v>
      </c>
      <c r="E48" t="s">
        <v>25</v>
      </c>
      <c r="F48" t="s">
        <v>24</v>
      </c>
      <c r="G48">
        <v>3</v>
      </c>
      <c r="H48">
        <v>55000</v>
      </c>
      <c r="I48" s="8">
        <v>165000</v>
      </c>
      <c r="J48" s="8">
        <f t="shared" si="0"/>
        <v>42000</v>
      </c>
      <c r="K48" s="8">
        <f t="shared" si="1"/>
        <v>39000</v>
      </c>
      <c r="L48" s="2">
        <f t="shared" si="2"/>
        <v>200000</v>
      </c>
      <c r="M48" s="2">
        <f>I48/L48*100</f>
        <v>82.5</v>
      </c>
      <c r="N48" s="5">
        <f t="shared" si="3"/>
        <v>0.23636363636363636</v>
      </c>
    </row>
    <row r="49" spans="1:14">
      <c r="A49">
        <v>1046</v>
      </c>
      <c r="B49" s="1">
        <v>46280</v>
      </c>
      <c r="C49" s="1" t="str">
        <f>TEXT(B49,"mmmm")</f>
        <v>September</v>
      </c>
      <c r="D49" t="s">
        <v>19</v>
      </c>
      <c r="E49" t="s">
        <v>23</v>
      </c>
      <c r="F49" t="s">
        <v>26</v>
      </c>
      <c r="G49">
        <v>8</v>
      </c>
      <c r="H49">
        <v>22000</v>
      </c>
      <c r="I49" s="8">
        <v>165000</v>
      </c>
      <c r="J49" s="8">
        <f t="shared" si="0"/>
        <v>14000</v>
      </c>
      <c r="K49" s="8">
        <f t="shared" si="1"/>
        <v>53000</v>
      </c>
      <c r="L49" s="2">
        <f t="shared" si="2"/>
        <v>150000</v>
      </c>
      <c r="M49" s="2">
        <f>I49/L49*100</f>
        <v>110.00000000000001</v>
      </c>
      <c r="N49" s="5">
        <f t="shared" si="3"/>
        <v>0.32121212121212123</v>
      </c>
    </row>
    <row r="50" spans="1:14">
      <c r="A50">
        <v>1047</v>
      </c>
      <c r="B50" s="1">
        <v>46281</v>
      </c>
      <c r="C50" s="1" t="str">
        <f>TEXT(B50,"mmmm")</f>
        <v>September</v>
      </c>
      <c r="D50" t="s">
        <v>22</v>
      </c>
      <c r="E50" t="s">
        <v>20</v>
      </c>
      <c r="F50" t="s">
        <v>17</v>
      </c>
      <c r="G50">
        <v>6</v>
      </c>
      <c r="H50">
        <v>18000</v>
      </c>
      <c r="I50" s="8">
        <v>165000</v>
      </c>
      <c r="J50" s="8">
        <f t="shared" si="0"/>
        <v>25000</v>
      </c>
      <c r="K50" s="8">
        <f t="shared" si="1"/>
        <v>15000</v>
      </c>
      <c r="L50" s="2">
        <f t="shared" si="2"/>
        <v>100000</v>
      </c>
      <c r="M50" s="2">
        <f>I50/L50*100</f>
        <v>165</v>
      </c>
      <c r="N50" s="5">
        <f t="shared" si="3"/>
        <v>9.0909090909090912E-2</v>
      </c>
    </row>
    <row r="51" spans="1:14">
      <c r="A51">
        <v>1048</v>
      </c>
      <c r="B51" s="1">
        <v>46282</v>
      </c>
      <c r="C51" s="1" t="str">
        <f>TEXT(B51,"mmmm")</f>
        <v>September</v>
      </c>
      <c r="D51" t="s">
        <v>18</v>
      </c>
      <c r="E51" t="s">
        <v>16</v>
      </c>
      <c r="F51" t="s">
        <v>21</v>
      </c>
      <c r="G51">
        <v>10</v>
      </c>
      <c r="H51">
        <v>2500</v>
      </c>
      <c r="I51" s="8">
        <v>165000</v>
      </c>
      <c r="J51" s="8">
        <f t="shared" si="0"/>
        <v>2000</v>
      </c>
      <c r="K51" s="8">
        <f t="shared" si="1"/>
        <v>145000</v>
      </c>
      <c r="L51" s="2">
        <f t="shared" si="2"/>
        <v>30000</v>
      </c>
      <c r="M51" s="2">
        <f>I51/L51*100</f>
        <v>550</v>
      </c>
      <c r="N51" s="5">
        <f t="shared" si="3"/>
        <v>0.87878787878787878</v>
      </c>
    </row>
    <row r="52" spans="1:14">
      <c r="A52">
        <v>1049</v>
      </c>
      <c r="B52" s="1">
        <v>46283</v>
      </c>
      <c r="C52" s="1" t="str">
        <f>TEXT(B52,"mmmm")</f>
        <v>September</v>
      </c>
      <c r="D52" t="s">
        <v>15</v>
      </c>
      <c r="E52" t="s">
        <v>16</v>
      </c>
      <c r="F52" t="s">
        <v>24</v>
      </c>
      <c r="G52">
        <v>4</v>
      </c>
      <c r="H52">
        <v>55000</v>
      </c>
      <c r="I52" s="8">
        <v>165000</v>
      </c>
      <c r="J52" s="8">
        <f t="shared" si="0"/>
        <v>42000</v>
      </c>
      <c r="K52" s="8">
        <f t="shared" si="1"/>
        <v>-3000</v>
      </c>
      <c r="L52" s="2">
        <f t="shared" si="2"/>
        <v>200000</v>
      </c>
      <c r="M52" s="2">
        <f>I52/L52*100</f>
        <v>82.5</v>
      </c>
      <c r="N52" s="5">
        <f t="shared" si="3"/>
        <v>-1.8181818181818181E-2</v>
      </c>
    </row>
    <row r="53" spans="1:14">
      <c r="A53">
        <v>1050</v>
      </c>
      <c r="B53" s="1">
        <v>46284</v>
      </c>
      <c r="C53" s="1" t="str">
        <f>TEXT(B53,"mmmm")</f>
        <v>September</v>
      </c>
      <c r="D53" t="s">
        <v>19</v>
      </c>
      <c r="E53" t="s">
        <v>20</v>
      </c>
      <c r="F53" t="s">
        <v>17</v>
      </c>
      <c r="G53">
        <v>7</v>
      </c>
      <c r="H53">
        <v>22000</v>
      </c>
      <c r="I53" s="8">
        <v>165000</v>
      </c>
      <c r="J53" s="8">
        <f t="shared" si="0"/>
        <v>14000</v>
      </c>
      <c r="K53" s="8">
        <f t="shared" si="1"/>
        <v>67000</v>
      </c>
      <c r="L53" s="2">
        <f t="shared" si="2"/>
        <v>150000</v>
      </c>
      <c r="M53" s="2">
        <f>I53/L53*100</f>
        <v>110.00000000000001</v>
      </c>
      <c r="N53" s="5">
        <f t="shared" si="3"/>
        <v>0.40606060606060607</v>
      </c>
    </row>
  </sheetData>
  <mergeCells count="1">
    <mergeCell ref="A1:H1"/>
  </mergeCells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A26E-C64E-4E47-A1E4-607D601588D1}">
  <dimension ref="A1:AE53"/>
  <sheetViews>
    <sheetView tabSelected="1" topLeftCell="O2" workbookViewId="0">
      <selection activeCell="V18" sqref="V18"/>
    </sheetView>
  </sheetViews>
  <sheetFormatPr defaultRowHeight="15"/>
  <cols>
    <col min="2" max="2" width="11.42578125" bestFit="1" customWidth="1"/>
    <col min="3" max="3" width="11.42578125" customWidth="1"/>
    <col min="21" max="21" width="12.7109375" bestFit="1" customWidth="1"/>
    <col min="22" max="22" width="20.42578125" bestFit="1" customWidth="1"/>
    <col min="23" max="23" width="13.42578125" bestFit="1" customWidth="1"/>
    <col min="24" max="24" width="20.42578125" bestFit="1" customWidth="1"/>
    <col min="25" max="25" width="13.42578125" bestFit="1" customWidth="1"/>
    <col min="26" max="26" width="20.42578125" bestFit="1" customWidth="1"/>
    <col min="27" max="27" width="13.42578125" bestFit="1" customWidth="1"/>
    <col min="28" max="28" width="20.42578125" bestFit="1" customWidth="1"/>
    <col min="29" max="29" width="13.42578125" bestFit="1" customWidth="1"/>
    <col min="30" max="30" width="25.7109375" bestFit="1" customWidth="1"/>
    <col min="31" max="31" width="18.7109375" bestFit="1" customWidth="1"/>
  </cols>
  <sheetData>
    <row r="1" spans="1:31" ht="18.75">
      <c r="A1" s="9" t="s">
        <v>65</v>
      </c>
      <c r="B1" s="10"/>
      <c r="C1" s="10"/>
      <c r="D1" s="10"/>
      <c r="E1" s="10"/>
      <c r="F1" s="10"/>
      <c r="G1" s="10"/>
      <c r="H1" s="10"/>
      <c r="I1" s="11"/>
      <c r="U1" s="4" t="s">
        <v>5</v>
      </c>
      <c r="V1" t="s">
        <v>35</v>
      </c>
    </row>
    <row r="3" spans="1:31">
      <c r="A3" t="s">
        <v>1</v>
      </c>
      <c r="B3" t="s">
        <v>2</v>
      </c>
      <c r="C3" t="s">
        <v>66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58</v>
      </c>
      <c r="L3" t="s">
        <v>59</v>
      </c>
      <c r="M3" t="s">
        <v>10</v>
      </c>
      <c r="N3" t="s">
        <v>11</v>
      </c>
      <c r="O3" t="s">
        <v>60</v>
      </c>
      <c r="R3" s="7" t="s">
        <v>4</v>
      </c>
      <c r="S3" s="7" t="s">
        <v>61</v>
      </c>
      <c r="V3" s="4" t="s">
        <v>4</v>
      </c>
      <c r="W3" s="4" t="s">
        <v>37</v>
      </c>
    </row>
    <row r="4" spans="1:31">
      <c r="A4">
        <v>1001</v>
      </c>
      <c r="B4" s="1">
        <v>46235</v>
      </c>
      <c r="C4" s="1" t="s">
        <v>67</v>
      </c>
      <c r="D4" s="1" t="str">
        <f>TEXT(B4,"mmmm")</f>
        <v>August</v>
      </c>
      <c r="E4" t="s">
        <v>15</v>
      </c>
      <c r="F4" t="s">
        <v>16</v>
      </c>
      <c r="G4" t="s">
        <v>17</v>
      </c>
      <c r="H4">
        <v>3</v>
      </c>
      <c r="I4">
        <v>55000</v>
      </c>
      <c r="J4" s="8">
        <v>165000</v>
      </c>
      <c r="K4" s="8">
        <f>_xlfn.XLOOKUP(E4,$R$4:$R$7,$S$4:$S$7,"Not founded")</f>
        <v>42000</v>
      </c>
      <c r="L4" s="8">
        <f>J4-(K4*H4)</f>
        <v>39000</v>
      </c>
      <c r="M4" s="2">
        <f>IF(E4 = "Laptop",200000,IF( E4 = "Mobile",150000,IF(E4 = "Tablet",100000,IF(E4 = "Headphones",30000,""))))</f>
        <v>200000</v>
      </c>
      <c r="N4" s="2">
        <f>J4/M4*100</f>
        <v>82.5</v>
      </c>
      <c r="O4" s="5">
        <f>L4/J4</f>
        <v>0.23636363636363636</v>
      </c>
      <c r="R4" t="s">
        <v>15</v>
      </c>
      <c r="S4" s="8">
        <v>42000</v>
      </c>
      <c r="V4" t="s">
        <v>19</v>
      </c>
      <c r="X4" t="s">
        <v>15</v>
      </c>
      <c r="Z4" t="s">
        <v>22</v>
      </c>
      <c r="AB4" t="s">
        <v>18</v>
      </c>
      <c r="AD4" t="s">
        <v>41</v>
      </c>
      <c r="AE4" t="s">
        <v>68</v>
      </c>
    </row>
    <row r="5" spans="1:31">
      <c r="A5">
        <v>1002</v>
      </c>
      <c r="B5" s="1">
        <v>46236</v>
      </c>
      <c r="C5" s="1" t="s">
        <v>69</v>
      </c>
      <c r="D5" s="1" t="str">
        <f>TEXT(B5,"mmmm")</f>
        <v>August</v>
      </c>
      <c r="E5" t="s">
        <v>19</v>
      </c>
      <c r="F5" t="s">
        <v>20</v>
      </c>
      <c r="G5" t="s">
        <v>21</v>
      </c>
      <c r="H5">
        <v>5</v>
      </c>
      <c r="I5">
        <v>22000</v>
      </c>
      <c r="J5" s="8">
        <v>165000</v>
      </c>
      <c r="K5" s="8">
        <f t="shared" ref="K5:K53" si="0">_xlfn.XLOOKUP(E5,$R$4:$R$7,$S$4:$S$7,"Not founded")</f>
        <v>14000</v>
      </c>
      <c r="L5" s="8">
        <f t="shared" ref="L5:L53" si="1">J5-(K5*H5)</f>
        <v>95000</v>
      </c>
      <c r="M5" s="2">
        <f t="shared" ref="M5:M53" si="2">IF(E5 = "Laptop",200000,IF( E5 = "Mobile",150000,IF(E5 = "Tablet",100000,IF(E5 = "Headphones",30000,""))))</f>
        <v>150000</v>
      </c>
      <c r="N5" s="2">
        <f>J5/M5*100</f>
        <v>110.00000000000001</v>
      </c>
      <c r="O5" s="5">
        <f t="shared" ref="O5:O53" si="3">L5/J5</f>
        <v>0.5757575757575758</v>
      </c>
      <c r="R5" t="s">
        <v>19</v>
      </c>
      <c r="S5" s="8">
        <v>14000</v>
      </c>
      <c r="U5" s="4" t="s">
        <v>66</v>
      </c>
      <c r="V5" t="s">
        <v>13</v>
      </c>
      <c r="W5" t="s">
        <v>62</v>
      </c>
      <c r="X5" t="s">
        <v>13</v>
      </c>
      <c r="Y5" t="s">
        <v>62</v>
      </c>
      <c r="Z5" t="s">
        <v>13</v>
      </c>
      <c r="AA5" t="s">
        <v>62</v>
      </c>
      <c r="AB5" t="s">
        <v>13</v>
      </c>
      <c r="AC5" t="s">
        <v>62</v>
      </c>
    </row>
    <row r="6" spans="1:31">
      <c r="A6">
        <v>1003</v>
      </c>
      <c r="B6" s="1">
        <v>46237</v>
      </c>
      <c r="C6" s="1" t="s">
        <v>70</v>
      </c>
      <c r="D6" s="1" t="str">
        <f>TEXT(B6,"mmmm")</f>
        <v>August</v>
      </c>
      <c r="E6" t="s">
        <v>22</v>
      </c>
      <c r="F6" t="s">
        <v>23</v>
      </c>
      <c r="G6" t="s">
        <v>24</v>
      </c>
      <c r="H6">
        <v>4</v>
      </c>
      <c r="I6">
        <v>18000</v>
      </c>
      <c r="J6" s="8">
        <v>165000</v>
      </c>
      <c r="K6" s="8">
        <f t="shared" si="0"/>
        <v>25000</v>
      </c>
      <c r="L6" s="8">
        <f t="shared" si="1"/>
        <v>65000</v>
      </c>
      <c r="M6" s="2">
        <f t="shared" si="2"/>
        <v>100000</v>
      </c>
      <c r="N6" s="2">
        <f>J6/M6*100</f>
        <v>165</v>
      </c>
      <c r="O6" s="5">
        <f t="shared" si="3"/>
        <v>0.39393939393939392</v>
      </c>
      <c r="R6" t="s">
        <v>22</v>
      </c>
      <c r="S6" s="8">
        <v>25000</v>
      </c>
      <c r="U6" t="s">
        <v>70</v>
      </c>
      <c r="V6" s="8"/>
      <c r="W6" s="8"/>
      <c r="X6" s="8">
        <v>330000</v>
      </c>
      <c r="Y6" s="8">
        <v>120000</v>
      </c>
      <c r="Z6" s="8">
        <v>495000</v>
      </c>
      <c r="AA6" s="8">
        <v>120000</v>
      </c>
      <c r="AB6" s="8"/>
      <c r="AC6" s="8"/>
      <c r="AD6" s="8">
        <v>825000</v>
      </c>
      <c r="AE6" s="8">
        <v>240000</v>
      </c>
    </row>
    <row r="7" spans="1:31">
      <c r="A7">
        <v>1004</v>
      </c>
      <c r="B7" s="1">
        <v>46238</v>
      </c>
      <c r="C7" s="1" t="s">
        <v>71</v>
      </c>
      <c r="D7" s="1" t="str">
        <f>TEXT(B7,"mmmm")</f>
        <v>August</v>
      </c>
      <c r="E7" t="s">
        <v>18</v>
      </c>
      <c r="F7" t="s">
        <v>25</v>
      </c>
      <c r="G7" t="s">
        <v>26</v>
      </c>
      <c r="H7">
        <v>8</v>
      </c>
      <c r="I7">
        <v>2500</v>
      </c>
      <c r="J7" s="8">
        <v>165000</v>
      </c>
      <c r="K7" s="8">
        <f t="shared" si="0"/>
        <v>2000</v>
      </c>
      <c r="L7" s="8">
        <f t="shared" si="1"/>
        <v>149000</v>
      </c>
      <c r="M7" s="2">
        <f t="shared" si="2"/>
        <v>30000</v>
      </c>
      <c r="N7" s="2">
        <f>J7/M7*100</f>
        <v>550</v>
      </c>
      <c r="O7" s="5">
        <f t="shared" si="3"/>
        <v>0.90303030303030307</v>
      </c>
      <c r="R7" t="s">
        <v>18</v>
      </c>
      <c r="S7" s="8">
        <v>2000</v>
      </c>
      <c r="U7" t="s">
        <v>72</v>
      </c>
      <c r="V7" s="8">
        <v>495000</v>
      </c>
      <c r="W7" s="8">
        <v>257000</v>
      </c>
      <c r="X7" s="8"/>
      <c r="Y7" s="8"/>
      <c r="Z7" s="8"/>
      <c r="AA7" s="8"/>
      <c r="AB7" s="8">
        <v>330000</v>
      </c>
      <c r="AC7" s="8">
        <v>276000</v>
      </c>
      <c r="AD7" s="8">
        <v>825000</v>
      </c>
      <c r="AE7" s="8">
        <v>533000</v>
      </c>
    </row>
    <row r="8" spans="1:31">
      <c r="A8">
        <v>1005</v>
      </c>
      <c r="B8" s="1">
        <v>46239</v>
      </c>
      <c r="C8" s="1" t="s">
        <v>73</v>
      </c>
      <c r="D8" s="1" t="str">
        <f>TEXT(B8,"mmmm")</f>
        <v>August</v>
      </c>
      <c r="E8" t="s">
        <v>15</v>
      </c>
      <c r="F8" t="s">
        <v>20</v>
      </c>
      <c r="G8" t="s">
        <v>17</v>
      </c>
      <c r="H8">
        <v>2</v>
      </c>
      <c r="I8">
        <v>55000</v>
      </c>
      <c r="J8" s="8">
        <v>165000</v>
      </c>
      <c r="K8" s="8">
        <f t="shared" si="0"/>
        <v>42000</v>
      </c>
      <c r="L8" s="8">
        <f t="shared" si="1"/>
        <v>81000</v>
      </c>
      <c r="M8" s="2">
        <f t="shared" si="2"/>
        <v>200000</v>
      </c>
      <c r="N8" s="2">
        <f>J8/M8*100</f>
        <v>82.5</v>
      </c>
      <c r="O8" s="5">
        <f t="shared" si="3"/>
        <v>0.49090909090909091</v>
      </c>
      <c r="U8" t="s">
        <v>73</v>
      </c>
      <c r="V8" s="8"/>
      <c r="W8" s="8"/>
      <c r="X8" s="8">
        <v>495000</v>
      </c>
      <c r="Y8" s="8">
        <v>201000</v>
      </c>
      <c r="Z8" s="8">
        <v>330000</v>
      </c>
      <c r="AA8" s="8">
        <v>-70000</v>
      </c>
      <c r="AB8" s="8"/>
      <c r="AC8" s="8"/>
      <c r="AD8" s="8">
        <v>825000</v>
      </c>
      <c r="AE8" s="8">
        <v>131000</v>
      </c>
    </row>
    <row r="9" spans="1:31">
      <c r="A9">
        <v>1006</v>
      </c>
      <c r="B9" s="1">
        <v>46240</v>
      </c>
      <c r="C9" s="1" t="s">
        <v>74</v>
      </c>
      <c r="D9" s="1" t="str">
        <f>TEXT(B9,"mmmm")</f>
        <v>August</v>
      </c>
      <c r="E9" t="s">
        <v>19</v>
      </c>
      <c r="F9" t="s">
        <v>16</v>
      </c>
      <c r="G9" t="s">
        <v>24</v>
      </c>
      <c r="H9">
        <v>7</v>
      </c>
      <c r="I9">
        <v>22000</v>
      </c>
      <c r="J9" s="8">
        <v>165000</v>
      </c>
      <c r="K9" s="8">
        <f t="shared" si="0"/>
        <v>14000</v>
      </c>
      <c r="L9" s="8">
        <f t="shared" si="1"/>
        <v>67000</v>
      </c>
      <c r="M9" s="2">
        <f t="shared" si="2"/>
        <v>150000</v>
      </c>
      <c r="N9" s="2">
        <f>J9/M9*100</f>
        <v>110.00000000000001</v>
      </c>
      <c r="O9" s="5">
        <f t="shared" si="3"/>
        <v>0.40606060606060607</v>
      </c>
      <c r="U9" t="s">
        <v>67</v>
      </c>
      <c r="V9" s="8"/>
      <c r="W9" s="8"/>
      <c r="X9" s="8">
        <v>495000</v>
      </c>
      <c r="Y9" s="8">
        <v>33000</v>
      </c>
      <c r="Z9" s="8">
        <v>330000</v>
      </c>
      <c r="AA9" s="8">
        <v>80000</v>
      </c>
      <c r="AB9" s="8"/>
      <c r="AC9" s="8"/>
      <c r="AD9" s="8">
        <v>825000</v>
      </c>
      <c r="AE9" s="8">
        <v>113000</v>
      </c>
    </row>
    <row r="10" spans="1:31">
      <c r="A10">
        <v>1007</v>
      </c>
      <c r="B10" s="1">
        <v>46241</v>
      </c>
      <c r="C10" s="1" t="s">
        <v>75</v>
      </c>
      <c r="D10" s="1" t="str">
        <f>TEXT(B10,"mmmm")</f>
        <v>August</v>
      </c>
      <c r="E10" t="s">
        <v>22</v>
      </c>
      <c r="F10" t="s">
        <v>25</v>
      </c>
      <c r="G10" t="s">
        <v>21</v>
      </c>
      <c r="H10">
        <v>6</v>
      </c>
      <c r="I10">
        <v>18000</v>
      </c>
      <c r="J10" s="8">
        <v>165000</v>
      </c>
      <c r="K10" s="8">
        <f t="shared" si="0"/>
        <v>25000</v>
      </c>
      <c r="L10" s="8">
        <f t="shared" si="1"/>
        <v>15000</v>
      </c>
      <c r="M10" s="2">
        <f t="shared" si="2"/>
        <v>100000</v>
      </c>
      <c r="N10" s="2">
        <f>J10/M10*100</f>
        <v>165</v>
      </c>
      <c r="O10" s="5">
        <f t="shared" si="3"/>
        <v>9.0909090909090912E-2</v>
      </c>
      <c r="U10" t="s">
        <v>76</v>
      </c>
      <c r="V10" s="8"/>
      <c r="W10" s="8"/>
      <c r="X10" s="8">
        <v>495000</v>
      </c>
      <c r="Y10" s="8">
        <v>-9000</v>
      </c>
      <c r="Z10" s="8">
        <v>330000</v>
      </c>
      <c r="AA10" s="8">
        <v>-20000</v>
      </c>
      <c r="AB10" s="8"/>
      <c r="AC10" s="8"/>
      <c r="AD10" s="8">
        <v>825000</v>
      </c>
      <c r="AE10" s="8">
        <v>-29000</v>
      </c>
    </row>
    <row r="11" spans="1:31">
      <c r="A11">
        <v>1008</v>
      </c>
      <c r="B11" s="1">
        <v>46242</v>
      </c>
      <c r="C11" s="1" t="s">
        <v>77</v>
      </c>
      <c r="D11" s="1" t="str">
        <f>TEXT(B11,"mmmm")</f>
        <v>August</v>
      </c>
      <c r="E11" t="s">
        <v>18</v>
      </c>
      <c r="F11" t="s">
        <v>23</v>
      </c>
      <c r="G11" t="s">
        <v>26</v>
      </c>
      <c r="H11">
        <v>10</v>
      </c>
      <c r="I11">
        <v>2500</v>
      </c>
      <c r="J11" s="8">
        <v>165000</v>
      </c>
      <c r="K11" s="8">
        <f t="shared" si="0"/>
        <v>2000</v>
      </c>
      <c r="L11" s="8">
        <f t="shared" si="1"/>
        <v>145000</v>
      </c>
      <c r="M11" s="2">
        <f t="shared" si="2"/>
        <v>30000</v>
      </c>
      <c r="N11" s="2">
        <f>J11/M11*100</f>
        <v>550</v>
      </c>
      <c r="O11" s="5">
        <f t="shared" si="3"/>
        <v>0.87878787878787878</v>
      </c>
      <c r="U11" t="s">
        <v>74</v>
      </c>
      <c r="V11" s="8">
        <v>495000</v>
      </c>
      <c r="W11" s="8">
        <v>215000</v>
      </c>
      <c r="X11" s="8"/>
      <c r="Y11" s="8"/>
      <c r="Z11" s="8"/>
      <c r="AA11" s="8"/>
      <c r="AB11" s="8">
        <v>330000</v>
      </c>
      <c r="AC11" s="8">
        <v>280000</v>
      </c>
      <c r="AD11" s="8">
        <v>825000</v>
      </c>
      <c r="AE11" s="8">
        <v>495000</v>
      </c>
    </row>
    <row r="12" spans="1:31">
      <c r="A12">
        <v>1009</v>
      </c>
      <c r="B12" s="1">
        <v>46243</v>
      </c>
      <c r="C12" s="1" t="s">
        <v>76</v>
      </c>
      <c r="D12" s="1" t="str">
        <f>TEXT(B12,"mmmm")</f>
        <v>August</v>
      </c>
      <c r="E12" t="s">
        <v>15</v>
      </c>
      <c r="F12" t="s">
        <v>23</v>
      </c>
      <c r="G12" t="s">
        <v>24</v>
      </c>
      <c r="H12">
        <v>4</v>
      </c>
      <c r="I12">
        <v>55000</v>
      </c>
      <c r="J12" s="8">
        <v>165000</v>
      </c>
      <c r="K12" s="8">
        <f t="shared" si="0"/>
        <v>42000</v>
      </c>
      <c r="L12" s="8">
        <f t="shared" si="1"/>
        <v>-3000</v>
      </c>
      <c r="M12" s="2">
        <f t="shared" si="2"/>
        <v>200000</v>
      </c>
      <c r="N12" s="2">
        <f>J12/M12*100</f>
        <v>82.5</v>
      </c>
      <c r="O12" s="5">
        <f t="shared" si="3"/>
        <v>-1.8181818181818181E-2</v>
      </c>
      <c r="U12" t="s">
        <v>71</v>
      </c>
      <c r="V12" s="8">
        <v>330000</v>
      </c>
      <c r="W12" s="8">
        <v>162000</v>
      </c>
      <c r="X12" s="8"/>
      <c r="Y12" s="8"/>
      <c r="Z12" s="8"/>
      <c r="AA12" s="8"/>
      <c r="AB12" s="8">
        <v>495000</v>
      </c>
      <c r="AC12" s="8">
        <v>421000</v>
      </c>
      <c r="AD12" s="8">
        <v>825000</v>
      </c>
      <c r="AE12" s="8">
        <v>583000</v>
      </c>
    </row>
    <row r="13" spans="1:31">
      <c r="A13">
        <v>1010</v>
      </c>
      <c r="B13" s="1">
        <v>46244</v>
      </c>
      <c r="C13" s="1" t="s">
        <v>72</v>
      </c>
      <c r="D13" s="1" t="str">
        <f>TEXT(B13,"mmmm")</f>
        <v>August</v>
      </c>
      <c r="E13" t="s">
        <v>19</v>
      </c>
      <c r="F13" t="s">
        <v>25</v>
      </c>
      <c r="G13" t="s">
        <v>17</v>
      </c>
      <c r="H13">
        <v>3</v>
      </c>
      <c r="I13">
        <v>22000</v>
      </c>
      <c r="J13" s="8">
        <v>165000</v>
      </c>
      <c r="K13" s="8">
        <f t="shared" si="0"/>
        <v>14000</v>
      </c>
      <c r="L13" s="8">
        <f t="shared" si="1"/>
        <v>123000</v>
      </c>
      <c r="M13" s="2">
        <f t="shared" si="2"/>
        <v>150000</v>
      </c>
      <c r="N13" s="2">
        <f>J13/M13*100</f>
        <v>110.00000000000001</v>
      </c>
      <c r="O13" s="5">
        <f t="shared" si="3"/>
        <v>0.74545454545454548</v>
      </c>
      <c r="U13" t="s">
        <v>69</v>
      </c>
      <c r="V13" s="8">
        <v>495000</v>
      </c>
      <c r="W13" s="8">
        <v>257000</v>
      </c>
      <c r="X13" s="8"/>
      <c r="Y13" s="8"/>
      <c r="Z13" s="8"/>
      <c r="AA13" s="8"/>
      <c r="AB13" s="8">
        <v>330000</v>
      </c>
      <c r="AC13" s="8">
        <v>280000</v>
      </c>
      <c r="AD13" s="8">
        <v>825000</v>
      </c>
      <c r="AE13" s="8">
        <v>537000</v>
      </c>
    </row>
    <row r="14" spans="1:31">
      <c r="A14">
        <v>1011</v>
      </c>
      <c r="B14" s="1">
        <v>46245</v>
      </c>
      <c r="C14" s="1" t="s">
        <v>67</v>
      </c>
      <c r="D14" s="1" t="str">
        <f>TEXT(B14,"mmmm")</f>
        <v>August</v>
      </c>
      <c r="E14" t="s">
        <v>22</v>
      </c>
      <c r="F14" t="s">
        <v>16</v>
      </c>
      <c r="G14" t="s">
        <v>26</v>
      </c>
      <c r="H14">
        <v>5</v>
      </c>
      <c r="I14">
        <v>18000</v>
      </c>
      <c r="J14" s="8">
        <v>165000</v>
      </c>
      <c r="K14" s="8">
        <f t="shared" si="0"/>
        <v>25000</v>
      </c>
      <c r="L14" s="8">
        <f t="shared" si="1"/>
        <v>40000</v>
      </c>
      <c r="M14" s="2">
        <f t="shared" si="2"/>
        <v>100000</v>
      </c>
      <c r="N14" s="2">
        <f>J14/M14*100</f>
        <v>165</v>
      </c>
      <c r="O14" s="5">
        <f t="shared" si="3"/>
        <v>0.24242424242424243</v>
      </c>
      <c r="U14" t="s">
        <v>77</v>
      </c>
      <c r="V14" s="8">
        <v>330000</v>
      </c>
      <c r="W14" s="8">
        <v>148000</v>
      </c>
      <c r="X14" s="8"/>
      <c r="Y14" s="8"/>
      <c r="Z14" s="8"/>
      <c r="AA14" s="8"/>
      <c r="AB14" s="8">
        <v>495000</v>
      </c>
      <c r="AC14" s="8">
        <v>427000</v>
      </c>
      <c r="AD14" s="8">
        <v>825000</v>
      </c>
      <c r="AE14" s="8">
        <v>575000</v>
      </c>
    </row>
    <row r="15" spans="1:31">
      <c r="A15">
        <v>1012</v>
      </c>
      <c r="B15" s="1">
        <v>46246</v>
      </c>
      <c r="C15" s="1" t="s">
        <v>69</v>
      </c>
      <c r="D15" s="1" t="str">
        <f>TEXT(B15,"mmmm")</f>
        <v>August</v>
      </c>
      <c r="E15" t="s">
        <v>18</v>
      </c>
      <c r="F15" t="s">
        <v>20</v>
      </c>
      <c r="G15" t="s">
        <v>21</v>
      </c>
      <c r="H15">
        <v>12</v>
      </c>
      <c r="I15">
        <v>2500</v>
      </c>
      <c r="J15" s="8">
        <v>165000</v>
      </c>
      <c r="K15" s="8">
        <f t="shared" si="0"/>
        <v>2000</v>
      </c>
      <c r="L15" s="8">
        <f t="shared" si="1"/>
        <v>141000</v>
      </c>
      <c r="M15" s="2">
        <f t="shared" si="2"/>
        <v>30000</v>
      </c>
      <c r="N15" s="2">
        <f>J15/M15*100</f>
        <v>550</v>
      </c>
      <c r="O15" s="5">
        <f t="shared" si="3"/>
        <v>0.8545454545454545</v>
      </c>
      <c r="U15" t="s">
        <v>75</v>
      </c>
      <c r="V15" s="8"/>
      <c r="W15" s="8"/>
      <c r="X15" s="8">
        <v>330000</v>
      </c>
      <c r="Y15" s="8">
        <v>36000</v>
      </c>
      <c r="Z15" s="8">
        <v>495000</v>
      </c>
      <c r="AA15" s="8">
        <v>45000</v>
      </c>
      <c r="AB15" s="8"/>
      <c r="AC15" s="8"/>
      <c r="AD15" s="8">
        <v>825000</v>
      </c>
      <c r="AE15" s="8">
        <v>81000</v>
      </c>
    </row>
    <row r="16" spans="1:31">
      <c r="A16">
        <v>1013</v>
      </c>
      <c r="B16" s="1">
        <v>46247</v>
      </c>
      <c r="C16" s="1" t="s">
        <v>70</v>
      </c>
      <c r="D16" s="1" t="str">
        <f>TEXT(B16,"mmmm")</f>
        <v>August</v>
      </c>
      <c r="E16" t="s">
        <v>15</v>
      </c>
      <c r="F16" t="s">
        <v>25</v>
      </c>
      <c r="G16" t="s">
        <v>21</v>
      </c>
      <c r="H16">
        <v>2</v>
      </c>
      <c r="I16">
        <v>55000</v>
      </c>
      <c r="J16" s="8">
        <v>165000</v>
      </c>
      <c r="K16" s="8">
        <f t="shared" si="0"/>
        <v>42000</v>
      </c>
      <c r="L16" s="8">
        <f t="shared" si="1"/>
        <v>81000</v>
      </c>
      <c r="M16" s="2">
        <f t="shared" si="2"/>
        <v>200000</v>
      </c>
      <c r="N16" s="2">
        <f>J16/M16*100</f>
        <v>82.5</v>
      </c>
      <c r="O16" s="5">
        <f t="shared" si="3"/>
        <v>0.49090909090909091</v>
      </c>
      <c r="U16" t="s">
        <v>27</v>
      </c>
      <c r="V16" s="8">
        <v>2145000</v>
      </c>
      <c r="W16" s="8">
        <v>1039000</v>
      </c>
      <c r="X16" s="8">
        <v>2145000</v>
      </c>
      <c r="Y16" s="8">
        <v>381000</v>
      </c>
      <c r="Z16" s="8">
        <v>1980000</v>
      </c>
      <c r="AA16" s="8">
        <v>155000</v>
      </c>
      <c r="AB16" s="8">
        <v>1980000</v>
      </c>
      <c r="AC16" s="8">
        <v>1684000</v>
      </c>
      <c r="AD16" s="8">
        <v>8250000</v>
      </c>
      <c r="AE16" s="8">
        <v>3259000</v>
      </c>
    </row>
    <row r="17" spans="1:15">
      <c r="A17">
        <v>1014</v>
      </c>
      <c r="B17" s="1">
        <v>46248</v>
      </c>
      <c r="C17" s="1" t="s">
        <v>71</v>
      </c>
      <c r="D17" s="1" t="str">
        <f>TEXT(B17,"mmmm")</f>
        <v>August</v>
      </c>
      <c r="E17" t="s">
        <v>19</v>
      </c>
      <c r="F17" t="s">
        <v>23</v>
      </c>
      <c r="G17" t="s">
        <v>26</v>
      </c>
      <c r="H17">
        <v>6</v>
      </c>
      <c r="I17">
        <v>22000</v>
      </c>
      <c r="J17" s="8">
        <v>165000</v>
      </c>
      <c r="K17" s="8">
        <f t="shared" si="0"/>
        <v>14000</v>
      </c>
      <c r="L17" s="8">
        <f t="shared" si="1"/>
        <v>81000</v>
      </c>
      <c r="M17" s="2">
        <f t="shared" si="2"/>
        <v>150000</v>
      </c>
      <c r="N17" s="2">
        <f>J17/M17*100</f>
        <v>110.00000000000001</v>
      </c>
      <c r="O17" s="5">
        <f t="shared" si="3"/>
        <v>0.49090909090909091</v>
      </c>
    </row>
    <row r="18" spans="1:15">
      <c r="A18">
        <v>1015</v>
      </c>
      <c r="B18" s="1">
        <v>46249</v>
      </c>
      <c r="C18" s="1" t="s">
        <v>73</v>
      </c>
      <c r="D18" s="1" t="str">
        <f>TEXT(B18,"mmmm")</f>
        <v>August</v>
      </c>
      <c r="E18" t="s">
        <v>22</v>
      </c>
      <c r="F18" t="s">
        <v>20</v>
      </c>
      <c r="G18" t="s">
        <v>17</v>
      </c>
      <c r="H18">
        <v>7</v>
      </c>
      <c r="I18">
        <v>18000</v>
      </c>
      <c r="J18" s="8">
        <v>165000</v>
      </c>
      <c r="K18" s="8">
        <f t="shared" si="0"/>
        <v>25000</v>
      </c>
      <c r="L18" s="8">
        <f t="shared" si="1"/>
        <v>-10000</v>
      </c>
      <c r="M18" s="2">
        <f t="shared" si="2"/>
        <v>100000</v>
      </c>
      <c r="N18" s="2">
        <f>J18/M18*100</f>
        <v>165</v>
      </c>
      <c r="O18" s="5">
        <f t="shared" si="3"/>
        <v>-6.0606060606060608E-2</v>
      </c>
    </row>
    <row r="19" spans="1:15">
      <c r="A19">
        <v>1016</v>
      </c>
      <c r="B19" s="1">
        <v>46250</v>
      </c>
      <c r="C19" s="1" t="s">
        <v>74</v>
      </c>
      <c r="D19" s="1" t="str">
        <f>TEXT(B19,"mmmm")</f>
        <v>August</v>
      </c>
      <c r="E19" t="s">
        <v>18</v>
      </c>
      <c r="F19" t="s">
        <v>16</v>
      </c>
      <c r="G19" t="s">
        <v>24</v>
      </c>
      <c r="H19">
        <v>9</v>
      </c>
      <c r="I19">
        <v>2500</v>
      </c>
      <c r="J19" s="8">
        <v>165000</v>
      </c>
      <c r="K19" s="8">
        <f t="shared" si="0"/>
        <v>2000</v>
      </c>
      <c r="L19" s="8">
        <f t="shared" si="1"/>
        <v>147000</v>
      </c>
      <c r="M19" s="2">
        <f t="shared" si="2"/>
        <v>30000</v>
      </c>
      <c r="N19" s="2">
        <f>J19/M19*100</f>
        <v>550</v>
      </c>
      <c r="O19" s="5">
        <f t="shared" si="3"/>
        <v>0.89090909090909087</v>
      </c>
    </row>
    <row r="20" spans="1:15">
      <c r="A20">
        <v>1017</v>
      </c>
      <c r="B20" s="1">
        <v>46251</v>
      </c>
      <c r="C20" s="1" t="s">
        <v>75</v>
      </c>
      <c r="D20" s="1" t="str">
        <f>TEXT(B20,"mmmm")</f>
        <v>August</v>
      </c>
      <c r="E20" t="s">
        <v>15</v>
      </c>
      <c r="F20" t="s">
        <v>16</v>
      </c>
      <c r="G20" t="s">
        <v>26</v>
      </c>
      <c r="H20">
        <v>5</v>
      </c>
      <c r="I20">
        <v>55000</v>
      </c>
      <c r="J20" s="8">
        <v>165000</v>
      </c>
      <c r="K20" s="8">
        <f t="shared" si="0"/>
        <v>42000</v>
      </c>
      <c r="L20" s="8">
        <f t="shared" si="1"/>
        <v>-45000</v>
      </c>
      <c r="M20" s="2">
        <f t="shared" si="2"/>
        <v>200000</v>
      </c>
      <c r="N20" s="2">
        <f>J20/M20*100</f>
        <v>82.5</v>
      </c>
      <c r="O20" s="5">
        <f t="shared" si="3"/>
        <v>-0.27272727272727271</v>
      </c>
    </row>
    <row r="21" spans="1:15">
      <c r="A21">
        <v>1018</v>
      </c>
      <c r="B21" s="1">
        <v>46252</v>
      </c>
      <c r="C21" s="1" t="s">
        <v>77</v>
      </c>
      <c r="D21" s="1" t="str">
        <f>TEXT(B21,"mmmm")</f>
        <v>August</v>
      </c>
      <c r="E21" t="s">
        <v>19</v>
      </c>
      <c r="F21" t="s">
        <v>20</v>
      </c>
      <c r="G21" t="s">
        <v>24</v>
      </c>
      <c r="H21">
        <v>4</v>
      </c>
      <c r="I21">
        <v>22000</v>
      </c>
      <c r="J21" s="8">
        <v>165000</v>
      </c>
      <c r="K21" s="8">
        <f t="shared" si="0"/>
        <v>14000</v>
      </c>
      <c r="L21" s="8">
        <f t="shared" si="1"/>
        <v>109000</v>
      </c>
      <c r="M21" s="2">
        <f t="shared" si="2"/>
        <v>150000</v>
      </c>
      <c r="N21" s="2">
        <f>J21/M21*100</f>
        <v>110.00000000000001</v>
      </c>
      <c r="O21" s="5">
        <f t="shared" si="3"/>
        <v>0.66060606060606064</v>
      </c>
    </row>
    <row r="22" spans="1:15">
      <c r="A22">
        <v>1019</v>
      </c>
      <c r="B22" s="1">
        <v>46253</v>
      </c>
      <c r="C22" s="1" t="s">
        <v>76</v>
      </c>
      <c r="D22" s="1" t="str">
        <f>TEXT(B22,"mmmm")</f>
        <v>August</v>
      </c>
      <c r="E22" t="s">
        <v>22</v>
      </c>
      <c r="F22" t="s">
        <v>23</v>
      </c>
      <c r="G22" t="s">
        <v>17</v>
      </c>
      <c r="H22">
        <v>8</v>
      </c>
      <c r="I22">
        <v>18000</v>
      </c>
      <c r="J22" s="8">
        <v>165000</v>
      </c>
      <c r="K22" s="8">
        <f t="shared" si="0"/>
        <v>25000</v>
      </c>
      <c r="L22" s="8">
        <f t="shared" si="1"/>
        <v>-35000</v>
      </c>
      <c r="M22" s="2">
        <f t="shared" si="2"/>
        <v>100000</v>
      </c>
      <c r="N22" s="2">
        <f>J22/M22*100</f>
        <v>165</v>
      </c>
      <c r="O22" s="5">
        <f t="shared" si="3"/>
        <v>-0.21212121212121213</v>
      </c>
    </row>
    <row r="23" spans="1:15">
      <c r="A23">
        <v>1020</v>
      </c>
      <c r="B23" s="1">
        <v>46254</v>
      </c>
      <c r="C23" s="1" t="s">
        <v>72</v>
      </c>
      <c r="D23" s="1" t="str">
        <f>TEXT(B23,"mmmm")</f>
        <v>August</v>
      </c>
      <c r="E23" t="s">
        <v>18</v>
      </c>
      <c r="F23" t="s">
        <v>25</v>
      </c>
      <c r="G23" t="s">
        <v>21</v>
      </c>
      <c r="H23">
        <v>15</v>
      </c>
      <c r="I23">
        <v>2500</v>
      </c>
      <c r="J23" s="8">
        <v>165000</v>
      </c>
      <c r="K23" s="8">
        <f t="shared" si="0"/>
        <v>2000</v>
      </c>
      <c r="L23" s="8">
        <f t="shared" si="1"/>
        <v>135000</v>
      </c>
      <c r="M23" s="2">
        <f t="shared" si="2"/>
        <v>30000</v>
      </c>
      <c r="N23" s="2">
        <f>J23/M23*100</f>
        <v>550</v>
      </c>
      <c r="O23" s="5">
        <f t="shared" si="3"/>
        <v>0.81818181818181823</v>
      </c>
    </row>
    <row r="24" spans="1:15">
      <c r="A24">
        <v>1021</v>
      </c>
      <c r="B24" s="1">
        <v>46255</v>
      </c>
      <c r="C24" s="1" t="s">
        <v>67</v>
      </c>
      <c r="D24" s="1" t="str">
        <f>TEXT(B24,"mmmm")</f>
        <v>August</v>
      </c>
      <c r="E24" t="s">
        <v>15</v>
      </c>
      <c r="F24" t="s">
        <v>20</v>
      </c>
      <c r="G24" t="s">
        <v>24</v>
      </c>
      <c r="H24">
        <v>3</v>
      </c>
      <c r="I24">
        <v>55000</v>
      </c>
      <c r="J24" s="8">
        <v>165000</v>
      </c>
      <c r="K24" s="8">
        <f t="shared" si="0"/>
        <v>42000</v>
      </c>
      <c r="L24" s="8">
        <f t="shared" si="1"/>
        <v>39000</v>
      </c>
      <c r="M24" s="2">
        <f t="shared" si="2"/>
        <v>200000</v>
      </c>
      <c r="N24" s="2">
        <f>J24/M24*100</f>
        <v>82.5</v>
      </c>
      <c r="O24" s="5">
        <f t="shared" si="3"/>
        <v>0.23636363636363636</v>
      </c>
    </row>
    <row r="25" spans="1:15">
      <c r="A25">
        <v>1022</v>
      </c>
      <c r="B25" s="1">
        <v>46256</v>
      </c>
      <c r="C25" s="1" t="s">
        <v>69</v>
      </c>
      <c r="D25" s="1" t="str">
        <f>TEXT(B25,"mmmm")</f>
        <v>August</v>
      </c>
      <c r="E25" t="s">
        <v>19</v>
      </c>
      <c r="F25" t="s">
        <v>16</v>
      </c>
      <c r="G25" t="s">
        <v>21</v>
      </c>
      <c r="H25">
        <v>8</v>
      </c>
      <c r="I25">
        <v>22000</v>
      </c>
      <c r="J25" s="8">
        <v>165000</v>
      </c>
      <c r="K25" s="8">
        <f t="shared" si="0"/>
        <v>14000</v>
      </c>
      <c r="L25" s="8">
        <f t="shared" si="1"/>
        <v>53000</v>
      </c>
      <c r="M25" s="2">
        <f t="shared" si="2"/>
        <v>150000</v>
      </c>
      <c r="N25" s="2">
        <f>J25/M25*100</f>
        <v>110.00000000000001</v>
      </c>
      <c r="O25" s="5">
        <f t="shared" si="3"/>
        <v>0.32121212121212123</v>
      </c>
    </row>
    <row r="26" spans="1:15">
      <c r="A26">
        <v>1023</v>
      </c>
      <c r="B26" s="1">
        <v>46257</v>
      </c>
      <c r="C26" s="1" t="s">
        <v>70</v>
      </c>
      <c r="D26" s="1" t="str">
        <f>TEXT(B26,"mmmm")</f>
        <v>August</v>
      </c>
      <c r="E26" t="s">
        <v>22</v>
      </c>
      <c r="F26" t="s">
        <v>25</v>
      </c>
      <c r="G26" t="s">
        <v>26</v>
      </c>
      <c r="H26">
        <v>4</v>
      </c>
      <c r="I26">
        <v>18000</v>
      </c>
      <c r="J26" s="8">
        <v>165000</v>
      </c>
      <c r="K26" s="8">
        <f t="shared" si="0"/>
        <v>25000</v>
      </c>
      <c r="L26" s="8">
        <f t="shared" si="1"/>
        <v>65000</v>
      </c>
      <c r="M26" s="2">
        <f t="shared" si="2"/>
        <v>100000</v>
      </c>
      <c r="N26" s="2">
        <f>J26/M26*100</f>
        <v>165</v>
      </c>
      <c r="O26" s="5">
        <f t="shared" si="3"/>
        <v>0.39393939393939392</v>
      </c>
    </row>
    <row r="27" spans="1:15">
      <c r="A27">
        <v>1024</v>
      </c>
      <c r="B27" s="1">
        <v>46258</v>
      </c>
      <c r="C27" s="1" t="s">
        <v>71</v>
      </c>
      <c r="D27" s="1" t="str">
        <f>TEXT(B27,"mmmm")</f>
        <v>August</v>
      </c>
      <c r="E27" t="s">
        <v>18</v>
      </c>
      <c r="F27" t="s">
        <v>23</v>
      </c>
      <c r="G27" t="s">
        <v>17</v>
      </c>
      <c r="H27">
        <v>11</v>
      </c>
      <c r="I27">
        <v>2500</v>
      </c>
      <c r="J27" s="8">
        <v>165000</v>
      </c>
      <c r="K27" s="8">
        <f t="shared" si="0"/>
        <v>2000</v>
      </c>
      <c r="L27" s="8">
        <f t="shared" si="1"/>
        <v>143000</v>
      </c>
      <c r="M27" s="2">
        <f t="shared" si="2"/>
        <v>30000</v>
      </c>
      <c r="N27" s="2">
        <f>J27/M27*100</f>
        <v>550</v>
      </c>
      <c r="O27" s="5">
        <f t="shared" si="3"/>
        <v>0.8666666666666667</v>
      </c>
    </row>
    <row r="28" spans="1:15">
      <c r="A28">
        <v>1025</v>
      </c>
      <c r="B28" s="1">
        <v>46259</v>
      </c>
      <c r="C28" s="1" t="s">
        <v>73</v>
      </c>
      <c r="D28" s="1" t="str">
        <f>TEXT(B28,"mmmm")</f>
        <v>August</v>
      </c>
      <c r="E28" t="s">
        <v>15</v>
      </c>
      <c r="F28" t="s">
        <v>23</v>
      </c>
      <c r="G28" t="s">
        <v>21</v>
      </c>
      <c r="H28">
        <v>2</v>
      </c>
      <c r="I28">
        <v>55000</v>
      </c>
      <c r="J28" s="8">
        <v>165000</v>
      </c>
      <c r="K28" s="8">
        <f t="shared" si="0"/>
        <v>42000</v>
      </c>
      <c r="L28" s="8">
        <f t="shared" si="1"/>
        <v>81000</v>
      </c>
      <c r="M28" s="2">
        <f t="shared" si="2"/>
        <v>200000</v>
      </c>
      <c r="N28" s="2">
        <f>J28/M28*100</f>
        <v>82.5</v>
      </c>
      <c r="O28" s="5">
        <f t="shared" si="3"/>
        <v>0.49090909090909091</v>
      </c>
    </row>
    <row r="29" spans="1:15">
      <c r="A29">
        <v>1026</v>
      </c>
      <c r="B29" s="1">
        <v>46260</v>
      </c>
      <c r="C29" s="1" t="s">
        <v>74</v>
      </c>
      <c r="D29" s="1" t="str">
        <f>TEXT(B29,"mmmm")</f>
        <v>August</v>
      </c>
      <c r="E29" t="s">
        <v>19</v>
      </c>
      <c r="F29" t="s">
        <v>25</v>
      </c>
      <c r="G29" t="s">
        <v>24</v>
      </c>
      <c r="H29">
        <v>5</v>
      </c>
      <c r="I29">
        <v>22000</v>
      </c>
      <c r="J29" s="8">
        <v>165000</v>
      </c>
      <c r="K29" s="8">
        <f t="shared" si="0"/>
        <v>14000</v>
      </c>
      <c r="L29" s="8">
        <f t="shared" si="1"/>
        <v>95000</v>
      </c>
      <c r="M29" s="2">
        <f t="shared" si="2"/>
        <v>150000</v>
      </c>
      <c r="N29" s="2">
        <f>J29/M29*100</f>
        <v>110.00000000000001</v>
      </c>
      <c r="O29" s="5">
        <f t="shared" si="3"/>
        <v>0.5757575757575758</v>
      </c>
    </row>
    <row r="30" spans="1:15">
      <c r="A30">
        <v>1027</v>
      </c>
      <c r="B30" s="1">
        <v>46261</v>
      </c>
      <c r="C30" s="1" t="s">
        <v>75</v>
      </c>
      <c r="D30" s="1" t="str">
        <f>TEXT(B30,"mmmm")</f>
        <v>August</v>
      </c>
      <c r="E30" t="s">
        <v>22</v>
      </c>
      <c r="F30" t="s">
        <v>16</v>
      </c>
      <c r="G30" t="s">
        <v>17</v>
      </c>
      <c r="H30">
        <v>6</v>
      </c>
      <c r="I30">
        <v>18000</v>
      </c>
      <c r="J30" s="8">
        <v>165000</v>
      </c>
      <c r="K30" s="8">
        <f t="shared" si="0"/>
        <v>25000</v>
      </c>
      <c r="L30" s="8">
        <f t="shared" si="1"/>
        <v>15000</v>
      </c>
      <c r="M30" s="2">
        <f t="shared" si="2"/>
        <v>100000</v>
      </c>
      <c r="N30" s="2">
        <f>J30/M30*100</f>
        <v>165</v>
      </c>
      <c r="O30" s="5">
        <f t="shared" si="3"/>
        <v>9.0909090909090912E-2</v>
      </c>
    </row>
    <row r="31" spans="1:15">
      <c r="A31">
        <v>1028</v>
      </c>
      <c r="B31" s="1">
        <v>46262</v>
      </c>
      <c r="C31" s="1" t="s">
        <v>77</v>
      </c>
      <c r="D31" s="1" t="str">
        <f>TEXT(B31,"mmmm")</f>
        <v>August</v>
      </c>
      <c r="E31" t="s">
        <v>18</v>
      </c>
      <c r="F31" t="s">
        <v>20</v>
      </c>
      <c r="G31" t="s">
        <v>26</v>
      </c>
      <c r="H31">
        <v>14</v>
      </c>
      <c r="I31">
        <v>2500</v>
      </c>
      <c r="J31" s="8">
        <v>165000</v>
      </c>
      <c r="K31" s="8">
        <f t="shared" si="0"/>
        <v>2000</v>
      </c>
      <c r="L31" s="8">
        <f t="shared" si="1"/>
        <v>137000</v>
      </c>
      <c r="M31" s="2">
        <f t="shared" si="2"/>
        <v>30000</v>
      </c>
      <c r="N31" s="2">
        <f>J31/M31*100</f>
        <v>550</v>
      </c>
      <c r="O31" s="5">
        <f t="shared" si="3"/>
        <v>0.83030303030303032</v>
      </c>
    </row>
    <row r="32" spans="1:15">
      <c r="A32">
        <v>1029</v>
      </c>
      <c r="B32" s="1">
        <v>46263</v>
      </c>
      <c r="C32" s="1" t="s">
        <v>76</v>
      </c>
      <c r="D32" s="1" t="str">
        <f>TEXT(B32,"mmmm")</f>
        <v>August</v>
      </c>
      <c r="E32" t="s">
        <v>15</v>
      </c>
      <c r="F32" t="s">
        <v>25</v>
      </c>
      <c r="G32" t="s">
        <v>26</v>
      </c>
      <c r="H32">
        <v>4</v>
      </c>
      <c r="I32">
        <v>55000</v>
      </c>
      <c r="J32" s="8">
        <v>165000</v>
      </c>
      <c r="K32" s="8">
        <f t="shared" si="0"/>
        <v>42000</v>
      </c>
      <c r="L32" s="8">
        <f t="shared" si="1"/>
        <v>-3000</v>
      </c>
      <c r="M32" s="2">
        <f t="shared" si="2"/>
        <v>200000</v>
      </c>
      <c r="N32" s="2">
        <f>J32/M32*100</f>
        <v>82.5</v>
      </c>
      <c r="O32" s="5">
        <f t="shared" si="3"/>
        <v>-1.8181818181818181E-2</v>
      </c>
    </row>
    <row r="33" spans="1:15">
      <c r="A33">
        <v>1030</v>
      </c>
      <c r="B33" s="1">
        <v>46264</v>
      </c>
      <c r="C33" s="1" t="s">
        <v>72</v>
      </c>
      <c r="D33" s="1" t="str">
        <f>TEXT(B33,"mmmm")</f>
        <v>August</v>
      </c>
      <c r="E33" t="s">
        <v>19</v>
      </c>
      <c r="F33" t="s">
        <v>23</v>
      </c>
      <c r="G33" t="s">
        <v>17</v>
      </c>
      <c r="H33">
        <v>7</v>
      </c>
      <c r="I33">
        <v>22000</v>
      </c>
      <c r="J33" s="8">
        <v>165000</v>
      </c>
      <c r="K33" s="8">
        <f t="shared" si="0"/>
        <v>14000</v>
      </c>
      <c r="L33" s="8">
        <f t="shared" si="1"/>
        <v>67000</v>
      </c>
      <c r="M33" s="2">
        <f t="shared" si="2"/>
        <v>150000</v>
      </c>
      <c r="N33" s="2">
        <f>J33/M33*100</f>
        <v>110.00000000000001</v>
      </c>
      <c r="O33" s="5">
        <f t="shared" si="3"/>
        <v>0.40606060606060607</v>
      </c>
    </row>
    <row r="34" spans="1:15">
      <c r="A34">
        <v>1031</v>
      </c>
      <c r="B34" s="1">
        <v>46265</v>
      </c>
      <c r="C34" s="1" t="s">
        <v>67</v>
      </c>
      <c r="D34" s="1" t="str">
        <f>TEXT(B34,"mmmm")</f>
        <v>August</v>
      </c>
      <c r="E34" t="s">
        <v>22</v>
      </c>
      <c r="F34" t="s">
        <v>20</v>
      </c>
      <c r="G34" t="s">
        <v>21</v>
      </c>
      <c r="H34">
        <v>5</v>
      </c>
      <c r="I34">
        <v>18000</v>
      </c>
      <c r="J34" s="8">
        <v>165000</v>
      </c>
      <c r="K34" s="8">
        <f t="shared" si="0"/>
        <v>25000</v>
      </c>
      <c r="L34" s="8">
        <f t="shared" si="1"/>
        <v>40000</v>
      </c>
      <c r="M34" s="2">
        <f t="shared" si="2"/>
        <v>100000</v>
      </c>
      <c r="N34" s="2">
        <f>J34/M34*100</f>
        <v>165</v>
      </c>
      <c r="O34" s="5">
        <f t="shared" si="3"/>
        <v>0.24242424242424243</v>
      </c>
    </row>
    <row r="35" spans="1:15">
      <c r="A35">
        <v>1032</v>
      </c>
      <c r="B35" s="1">
        <v>46266</v>
      </c>
      <c r="C35" s="1" t="s">
        <v>69</v>
      </c>
      <c r="D35" s="1" t="str">
        <f>TEXT(B35,"mmmm")</f>
        <v>September</v>
      </c>
      <c r="E35" t="s">
        <v>18</v>
      </c>
      <c r="F35" t="s">
        <v>16</v>
      </c>
      <c r="G35" t="s">
        <v>24</v>
      </c>
      <c r="H35">
        <v>13</v>
      </c>
      <c r="I35">
        <v>2500</v>
      </c>
      <c r="J35" s="8">
        <v>165000</v>
      </c>
      <c r="K35" s="8">
        <f t="shared" si="0"/>
        <v>2000</v>
      </c>
      <c r="L35" s="8">
        <f t="shared" si="1"/>
        <v>139000</v>
      </c>
      <c r="M35" s="2">
        <f t="shared" si="2"/>
        <v>30000</v>
      </c>
      <c r="N35" s="2">
        <f>J35/M35*100</f>
        <v>550</v>
      </c>
      <c r="O35" s="5">
        <f t="shared" si="3"/>
        <v>0.84242424242424241</v>
      </c>
    </row>
    <row r="36" spans="1:15">
      <c r="A36">
        <v>1033</v>
      </c>
      <c r="B36" s="1">
        <v>46267</v>
      </c>
      <c r="C36" s="1" t="s">
        <v>70</v>
      </c>
      <c r="D36" s="1" t="str">
        <f>TEXT(B36,"mmmm")</f>
        <v>September</v>
      </c>
      <c r="E36" t="s">
        <v>15</v>
      </c>
      <c r="F36" t="s">
        <v>16</v>
      </c>
      <c r="G36" t="s">
        <v>21</v>
      </c>
      <c r="H36">
        <v>3</v>
      </c>
      <c r="I36">
        <v>55000</v>
      </c>
      <c r="J36" s="8">
        <v>165000</v>
      </c>
      <c r="K36" s="8">
        <f t="shared" si="0"/>
        <v>42000</v>
      </c>
      <c r="L36" s="8">
        <f t="shared" si="1"/>
        <v>39000</v>
      </c>
      <c r="M36" s="2">
        <f t="shared" si="2"/>
        <v>200000</v>
      </c>
      <c r="N36" s="2">
        <f>J36/M36*100</f>
        <v>82.5</v>
      </c>
      <c r="O36" s="5">
        <f t="shared" si="3"/>
        <v>0.23636363636363636</v>
      </c>
    </row>
    <row r="37" spans="1:15">
      <c r="A37">
        <v>1034</v>
      </c>
      <c r="B37" s="1">
        <v>46268</v>
      </c>
      <c r="C37" s="1" t="s">
        <v>71</v>
      </c>
      <c r="D37" s="1" t="str">
        <f>TEXT(B37,"mmmm")</f>
        <v>September</v>
      </c>
      <c r="E37" t="s">
        <v>19</v>
      </c>
      <c r="F37" t="s">
        <v>20</v>
      </c>
      <c r="G37" t="s">
        <v>26</v>
      </c>
      <c r="H37">
        <v>6</v>
      </c>
      <c r="I37">
        <v>22000</v>
      </c>
      <c r="J37" s="8">
        <v>165000</v>
      </c>
      <c r="K37" s="8">
        <f t="shared" si="0"/>
        <v>14000</v>
      </c>
      <c r="L37" s="8">
        <f t="shared" si="1"/>
        <v>81000</v>
      </c>
      <c r="M37" s="2">
        <f t="shared" si="2"/>
        <v>150000</v>
      </c>
      <c r="N37" s="2">
        <f>J37/M37*100</f>
        <v>110.00000000000001</v>
      </c>
      <c r="O37" s="5">
        <f t="shared" si="3"/>
        <v>0.49090909090909091</v>
      </c>
    </row>
    <row r="38" spans="1:15">
      <c r="A38">
        <v>1035</v>
      </c>
      <c r="B38" s="1">
        <v>46269</v>
      </c>
      <c r="C38" s="1" t="s">
        <v>73</v>
      </c>
      <c r="D38" s="1" t="str">
        <f>TEXT(B38,"mmmm")</f>
        <v>September</v>
      </c>
      <c r="E38" t="s">
        <v>22</v>
      </c>
      <c r="F38" t="s">
        <v>23</v>
      </c>
      <c r="G38" t="s">
        <v>24</v>
      </c>
      <c r="H38">
        <v>9</v>
      </c>
      <c r="I38">
        <v>18000</v>
      </c>
      <c r="J38" s="8">
        <v>165000</v>
      </c>
      <c r="K38" s="8">
        <f t="shared" si="0"/>
        <v>25000</v>
      </c>
      <c r="L38" s="8">
        <f t="shared" si="1"/>
        <v>-60000</v>
      </c>
      <c r="M38" s="2">
        <f t="shared" si="2"/>
        <v>100000</v>
      </c>
      <c r="N38" s="2">
        <f>J38/M38*100</f>
        <v>165</v>
      </c>
      <c r="O38" s="5">
        <f t="shared" si="3"/>
        <v>-0.36363636363636365</v>
      </c>
    </row>
    <row r="39" spans="1:15">
      <c r="A39">
        <v>1036</v>
      </c>
      <c r="B39" s="1">
        <v>46270</v>
      </c>
      <c r="C39" s="1" t="s">
        <v>74</v>
      </c>
      <c r="D39" s="1" t="str">
        <f>TEXT(B39,"mmmm")</f>
        <v>September</v>
      </c>
      <c r="E39" t="s">
        <v>18</v>
      </c>
      <c r="F39" t="s">
        <v>25</v>
      </c>
      <c r="G39" t="s">
        <v>17</v>
      </c>
      <c r="H39">
        <v>16</v>
      </c>
      <c r="I39">
        <v>2500</v>
      </c>
      <c r="J39" s="8">
        <v>165000</v>
      </c>
      <c r="K39" s="8">
        <f t="shared" si="0"/>
        <v>2000</v>
      </c>
      <c r="L39" s="8">
        <f t="shared" si="1"/>
        <v>133000</v>
      </c>
      <c r="M39" s="2">
        <f t="shared" si="2"/>
        <v>30000</v>
      </c>
      <c r="N39" s="2">
        <f>J39/M39*100</f>
        <v>550</v>
      </c>
      <c r="O39" s="5">
        <f t="shared" si="3"/>
        <v>0.80606060606060603</v>
      </c>
    </row>
    <row r="40" spans="1:15">
      <c r="A40">
        <v>1037</v>
      </c>
      <c r="B40" s="1">
        <v>46271</v>
      </c>
      <c r="C40" s="1" t="s">
        <v>75</v>
      </c>
      <c r="D40" s="1" t="str">
        <f>TEXT(B40,"mmmm")</f>
        <v>September</v>
      </c>
      <c r="E40" t="s">
        <v>15</v>
      </c>
      <c r="F40" t="s">
        <v>20</v>
      </c>
      <c r="G40" t="s">
        <v>26</v>
      </c>
      <c r="H40">
        <v>2</v>
      </c>
      <c r="I40">
        <v>55000</v>
      </c>
      <c r="J40" s="8">
        <v>165000</v>
      </c>
      <c r="K40" s="8">
        <f t="shared" si="0"/>
        <v>42000</v>
      </c>
      <c r="L40" s="8">
        <f t="shared" si="1"/>
        <v>81000</v>
      </c>
      <c r="M40" s="2">
        <f t="shared" si="2"/>
        <v>200000</v>
      </c>
      <c r="N40" s="2">
        <f>J40/M40*100</f>
        <v>82.5</v>
      </c>
      <c r="O40" s="5">
        <f t="shared" si="3"/>
        <v>0.49090909090909091</v>
      </c>
    </row>
    <row r="41" spans="1:15">
      <c r="A41">
        <v>1038</v>
      </c>
      <c r="B41" s="1">
        <v>46272</v>
      </c>
      <c r="C41" s="1" t="s">
        <v>77</v>
      </c>
      <c r="D41" s="1" t="str">
        <f>TEXT(B41,"mmmm")</f>
        <v>September</v>
      </c>
      <c r="E41" t="s">
        <v>19</v>
      </c>
      <c r="F41" t="s">
        <v>16</v>
      </c>
      <c r="G41" t="s">
        <v>17</v>
      </c>
      <c r="H41">
        <v>9</v>
      </c>
      <c r="I41">
        <v>22000</v>
      </c>
      <c r="J41" s="8">
        <v>165000</v>
      </c>
      <c r="K41" s="8">
        <f t="shared" si="0"/>
        <v>14000</v>
      </c>
      <c r="L41" s="8">
        <f t="shared" si="1"/>
        <v>39000</v>
      </c>
      <c r="M41" s="2">
        <f t="shared" si="2"/>
        <v>150000</v>
      </c>
      <c r="N41" s="2">
        <f>J41/M41*100</f>
        <v>110.00000000000001</v>
      </c>
      <c r="O41" s="5">
        <f t="shared" si="3"/>
        <v>0.23636363636363636</v>
      </c>
    </row>
    <row r="42" spans="1:15">
      <c r="A42">
        <v>1039</v>
      </c>
      <c r="B42" s="1">
        <v>46273</v>
      </c>
      <c r="C42" s="1" t="s">
        <v>76</v>
      </c>
      <c r="D42" s="1" t="str">
        <f>TEXT(B42,"mmmm")</f>
        <v>September</v>
      </c>
      <c r="E42" t="s">
        <v>22</v>
      </c>
      <c r="F42" t="s">
        <v>25</v>
      </c>
      <c r="G42" t="s">
        <v>24</v>
      </c>
      <c r="H42">
        <v>6</v>
      </c>
      <c r="I42">
        <v>18000</v>
      </c>
      <c r="J42" s="8">
        <v>165000</v>
      </c>
      <c r="K42" s="8">
        <f t="shared" si="0"/>
        <v>25000</v>
      </c>
      <c r="L42" s="8">
        <f t="shared" si="1"/>
        <v>15000</v>
      </c>
      <c r="M42" s="2">
        <f t="shared" si="2"/>
        <v>100000</v>
      </c>
      <c r="N42" s="2">
        <f>J42/M42*100</f>
        <v>165</v>
      </c>
      <c r="O42" s="5">
        <f t="shared" si="3"/>
        <v>9.0909090909090912E-2</v>
      </c>
    </row>
    <row r="43" spans="1:15">
      <c r="A43">
        <v>1040</v>
      </c>
      <c r="B43" s="1">
        <v>46274</v>
      </c>
      <c r="C43" s="1" t="s">
        <v>72</v>
      </c>
      <c r="D43" s="1" t="str">
        <f>TEXT(B43,"mmmm")</f>
        <v>September</v>
      </c>
      <c r="E43" t="s">
        <v>18</v>
      </c>
      <c r="F43" t="s">
        <v>23</v>
      </c>
      <c r="G43" t="s">
        <v>21</v>
      </c>
      <c r="H43">
        <v>12</v>
      </c>
      <c r="I43">
        <v>2500</v>
      </c>
      <c r="J43" s="8">
        <v>165000</v>
      </c>
      <c r="K43" s="8">
        <f t="shared" si="0"/>
        <v>2000</v>
      </c>
      <c r="L43" s="8">
        <f t="shared" si="1"/>
        <v>141000</v>
      </c>
      <c r="M43" s="2">
        <f t="shared" si="2"/>
        <v>30000</v>
      </c>
      <c r="N43" s="2">
        <f>J43/M43*100</f>
        <v>550</v>
      </c>
      <c r="O43" s="5">
        <f t="shared" si="3"/>
        <v>0.8545454545454545</v>
      </c>
    </row>
    <row r="44" spans="1:15">
      <c r="A44">
        <v>1041</v>
      </c>
      <c r="B44" s="1">
        <v>46275</v>
      </c>
      <c r="C44" s="1" t="s">
        <v>67</v>
      </c>
      <c r="D44" s="1" t="str">
        <f>TEXT(B44,"mmmm")</f>
        <v>September</v>
      </c>
      <c r="E44" t="s">
        <v>15</v>
      </c>
      <c r="F44" t="s">
        <v>23</v>
      </c>
      <c r="G44" t="s">
        <v>17</v>
      </c>
      <c r="H44">
        <v>5</v>
      </c>
      <c r="I44">
        <v>55000</v>
      </c>
      <c r="J44" s="8">
        <v>165000</v>
      </c>
      <c r="K44" s="8">
        <f t="shared" si="0"/>
        <v>42000</v>
      </c>
      <c r="L44" s="8">
        <f t="shared" si="1"/>
        <v>-45000</v>
      </c>
      <c r="M44" s="2">
        <f t="shared" si="2"/>
        <v>200000</v>
      </c>
      <c r="N44" s="2">
        <f>J44/M44*100</f>
        <v>82.5</v>
      </c>
      <c r="O44" s="5">
        <f t="shared" si="3"/>
        <v>-0.27272727272727271</v>
      </c>
    </row>
    <row r="45" spans="1:15">
      <c r="A45">
        <v>1042</v>
      </c>
      <c r="B45" s="1">
        <v>46276</v>
      </c>
      <c r="C45" s="1" t="s">
        <v>69</v>
      </c>
      <c r="D45" s="1" t="str">
        <f>TEXT(B45,"mmmm")</f>
        <v>September</v>
      </c>
      <c r="E45" t="s">
        <v>19</v>
      </c>
      <c r="F45" t="s">
        <v>25</v>
      </c>
      <c r="G45" t="s">
        <v>21</v>
      </c>
      <c r="H45">
        <v>4</v>
      </c>
      <c r="I45">
        <v>22000</v>
      </c>
      <c r="J45" s="8">
        <v>165000</v>
      </c>
      <c r="K45" s="8">
        <f t="shared" si="0"/>
        <v>14000</v>
      </c>
      <c r="L45" s="8">
        <f t="shared" si="1"/>
        <v>109000</v>
      </c>
      <c r="M45" s="2">
        <f t="shared" si="2"/>
        <v>150000</v>
      </c>
      <c r="N45" s="2">
        <f>J45/M45*100</f>
        <v>110.00000000000001</v>
      </c>
      <c r="O45" s="5">
        <f t="shared" si="3"/>
        <v>0.66060606060606064</v>
      </c>
    </row>
    <row r="46" spans="1:15">
      <c r="A46">
        <v>1043</v>
      </c>
      <c r="B46" s="1">
        <v>46277</v>
      </c>
      <c r="C46" s="1" t="s">
        <v>70</v>
      </c>
      <c r="D46" s="1" t="str">
        <f>TEXT(B46,"mmmm")</f>
        <v>September</v>
      </c>
      <c r="E46" t="s">
        <v>22</v>
      </c>
      <c r="F46" t="s">
        <v>16</v>
      </c>
      <c r="G46" t="s">
        <v>26</v>
      </c>
      <c r="H46">
        <v>7</v>
      </c>
      <c r="I46">
        <v>18000</v>
      </c>
      <c r="J46" s="8">
        <v>165000</v>
      </c>
      <c r="K46" s="8">
        <f t="shared" si="0"/>
        <v>25000</v>
      </c>
      <c r="L46" s="8">
        <f t="shared" si="1"/>
        <v>-10000</v>
      </c>
      <c r="M46" s="2">
        <f t="shared" si="2"/>
        <v>100000</v>
      </c>
      <c r="N46" s="2">
        <f>J46/M46*100</f>
        <v>165</v>
      </c>
      <c r="O46" s="5">
        <f t="shared" si="3"/>
        <v>-6.0606060606060608E-2</v>
      </c>
    </row>
    <row r="47" spans="1:15">
      <c r="A47">
        <v>1044</v>
      </c>
      <c r="B47" s="1">
        <v>46278</v>
      </c>
      <c r="C47" s="1" t="s">
        <v>71</v>
      </c>
      <c r="D47" s="1" t="str">
        <f>TEXT(B47,"mmmm")</f>
        <v>September</v>
      </c>
      <c r="E47" t="s">
        <v>18</v>
      </c>
      <c r="F47" t="s">
        <v>20</v>
      </c>
      <c r="G47" t="s">
        <v>24</v>
      </c>
      <c r="H47">
        <v>18</v>
      </c>
      <c r="I47">
        <v>2500</v>
      </c>
      <c r="J47" s="8">
        <v>165000</v>
      </c>
      <c r="K47" s="8">
        <f t="shared" si="0"/>
        <v>2000</v>
      </c>
      <c r="L47" s="8">
        <f t="shared" si="1"/>
        <v>129000</v>
      </c>
      <c r="M47" s="2">
        <f t="shared" si="2"/>
        <v>30000</v>
      </c>
      <c r="N47" s="2">
        <f>J47/M47*100</f>
        <v>550</v>
      </c>
      <c r="O47" s="5">
        <f t="shared" si="3"/>
        <v>0.78181818181818186</v>
      </c>
    </row>
    <row r="48" spans="1:15">
      <c r="A48">
        <v>1045</v>
      </c>
      <c r="B48" s="1">
        <v>46279</v>
      </c>
      <c r="C48" s="1" t="s">
        <v>73</v>
      </c>
      <c r="D48" s="1" t="str">
        <f>TEXT(B48,"mmmm")</f>
        <v>September</v>
      </c>
      <c r="E48" t="s">
        <v>15</v>
      </c>
      <c r="F48" t="s">
        <v>25</v>
      </c>
      <c r="G48" t="s">
        <v>24</v>
      </c>
      <c r="H48">
        <v>3</v>
      </c>
      <c r="I48">
        <v>55000</v>
      </c>
      <c r="J48" s="8">
        <v>165000</v>
      </c>
      <c r="K48" s="8">
        <f t="shared" si="0"/>
        <v>42000</v>
      </c>
      <c r="L48" s="8">
        <f t="shared" si="1"/>
        <v>39000</v>
      </c>
      <c r="M48" s="2">
        <f t="shared" si="2"/>
        <v>200000</v>
      </c>
      <c r="N48" s="2">
        <f>J48/M48*100</f>
        <v>82.5</v>
      </c>
      <c r="O48" s="5">
        <f t="shared" si="3"/>
        <v>0.23636363636363636</v>
      </c>
    </row>
    <row r="49" spans="1:15">
      <c r="A49">
        <v>1046</v>
      </c>
      <c r="B49" s="1">
        <v>46280</v>
      </c>
      <c r="C49" s="1" t="s">
        <v>74</v>
      </c>
      <c r="D49" s="1" t="str">
        <f>TEXT(B49,"mmmm")</f>
        <v>September</v>
      </c>
      <c r="E49" t="s">
        <v>19</v>
      </c>
      <c r="F49" t="s">
        <v>23</v>
      </c>
      <c r="G49" t="s">
        <v>26</v>
      </c>
      <c r="H49">
        <v>8</v>
      </c>
      <c r="I49">
        <v>22000</v>
      </c>
      <c r="J49" s="8">
        <v>165000</v>
      </c>
      <c r="K49" s="8">
        <f t="shared" si="0"/>
        <v>14000</v>
      </c>
      <c r="L49" s="8">
        <f t="shared" si="1"/>
        <v>53000</v>
      </c>
      <c r="M49" s="2">
        <f t="shared" si="2"/>
        <v>150000</v>
      </c>
      <c r="N49" s="2">
        <f>J49/M49*100</f>
        <v>110.00000000000001</v>
      </c>
      <c r="O49" s="5">
        <f t="shared" si="3"/>
        <v>0.32121212121212123</v>
      </c>
    </row>
    <row r="50" spans="1:15">
      <c r="A50">
        <v>1047</v>
      </c>
      <c r="B50" s="1">
        <v>46281</v>
      </c>
      <c r="C50" s="1" t="s">
        <v>75</v>
      </c>
      <c r="D50" s="1" t="str">
        <f>TEXT(B50,"mmmm")</f>
        <v>September</v>
      </c>
      <c r="E50" t="s">
        <v>22</v>
      </c>
      <c r="F50" t="s">
        <v>20</v>
      </c>
      <c r="G50" t="s">
        <v>17</v>
      </c>
      <c r="H50">
        <v>6</v>
      </c>
      <c r="I50">
        <v>18000</v>
      </c>
      <c r="J50" s="8">
        <v>165000</v>
      </c>
      <c r="K50" s="8">
        <f t="shared" si="0"/>
        <v>25000</v>
      </c>
      <c r="L50" s="8">
        <f t="shared" si="1"/>
        <v>15000</v>
      </c>
      <c r="M50" s="2">
        <f t="shared" si="2"/>
        <v>100000</v>
      </c>
      <c r="N50" s="2">
        <f>J50/M50*100</f>
        <v>165</v>
      </c>
      <c r="O50" s="5">
        <f t="shared" si="3"/>
        <v>9.0909090909090912E-2</v>
      </c>
    </row>
    <row r="51" spans="1:15">
      <c r="A51">
        <v>1048</v>
      </c>
      <c r="B51" s="1">
        <v>46282</v>
      </c>
      <c r="C51" s="1" t="s">
        <v>77</v>
      </c>
      <c r="D51" s="1" t="str">
        <f>TEXT(B51,"mmmm")</f>
        <v>September</v>
      </c>
      <c r="E51" t="s">
        <v>18</v>
      </c>
      <c r="F51" t="s">
        <v>16</v>
      </c>
      <c r="G51" t="s">
        <v>21</v>
      </c>
      <c r="H51">
        <v>10</v>
      </c>
      <c r="I51">
        <v>2500</v>
      </c>
      <c r="J51" s="8">
        <v>165000</v>
      </c>
      <c r="K51" s="8">
        <f t="shared" si="0"/>
        <v>2000</v>
      </c>
      <c r="L51" s="8">
        <f t="shared" si="1"/>
        <v>145000</v>
      </c>
      <c r="M51" s="2">
        <f t="shared" si="2"/>
        <v>30000</v>
      </c>
      <c r="N51" s="2">
        <f>J51/M51*100</f>
        <v>550</v>
      </c>
      <c r="O51" s="5">
        <f t="shared" si="3"/>
        <v>0.87878787878787878</v>
      </c>
    </row>
    <row r="52" spans="1:15">
      <c r="A52">
        <v>1049</v>
      </c>
      <c r="B52" s="1">
        <v>46283</v>
      </c>
      <c r="C52" s="1" t="s">
        <v>76</v>
      </c>
      <c r="D52" s="1" t="str">
        <f>TEXT(B52,"mmmm")</f>
        <v>September</v>
      </c>
      <c r="E52" t="s">
        <v>15</v>
      </c>
      <c r="F52" t="s">
        <v>16</v>
      </c>
      <c r="G52" t="s">
        <v>24</v>
      </c>
      <c r="H52">
        <v>4</v>
      </c>
      <c r="I52">
        <v>55000</v>
      </c>
      <c r="J52" s="8">
        <v>165000</v>
      </c>
      <c r="K52" s="8">
        <f t="shared" si="0"/>
        <v>42000</v>
      </c>
      <c r="L52" s="8">
        <f t="shared" si="1"/>
        <v>-3000</v>
      </c>
      <c r="M52" s="2">
        <f t="shared" si="2"/>
        <v>200000</v>
      </c>
      <c r="N52" s="2">
        <f>J52/M52*100</f>
        <v>82.5</v>
      </c>
      <c r="O52" s="5">
        <f t="shared" si="3"/>
        <v>-1.8181818181818181E-2</v>
      </c>
    </row>
    <row r="53" spans="1:15">
      <c r="A53">
        <v>1050</v>
      </c>
      <c r="B53" s="1">
        <v>46284</v>
      </c>
      <c r="C53" s="1" t="s">
        <v>72</v>
      </c>
      <c r="D53" s="1" t="str">
        <f>TEXT(B53,"mmmm")</f>
        <v>September</v>
      </c>
      <c r="E53" t="s">
        <v>19</v>
      </c>
      <c r="F53" t="s">
        <v>20</v>
      </c>
      <c r="G53" t="s">
        <v>17</v>
      </c>
      <c r="H53">
        <v>7</v>
      </c>
      <c r="I53">
        <v>22000</v>
      </c>
      <c r="J53" s="8">
        <v>165000</v>
      </c>
      <c r="K53" s="8">
        <f t="shared" si="0"/>
        <v>14000</v>
      </c>
      <c r="L53" s="8">
        <f t="shared" si="1"/>
        <v>67000</v>
      </c>
      <c r="M53" s="2">
        <f t="shared" si="2"/>
        <v>150000</v>
      </c>
      <c r="N53" s="2">
        <f>J53/M53*100</f>
        <v>110.00000000000001</v>
      </c>
      <c r="O53" s="5">
        <f t="shared" si="3"/>
        <v>0.40606060606060607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2026-08-19T12:00:01Z</dcterms:created>
  <dcterms:modified xsi:type="dcterms:W3CDTF">2026-08-20T18:02:30Z</dcterms:modified>
  <cp:category/>
  <cp:contentStatus/>
</cp:coreProperties>
</file>